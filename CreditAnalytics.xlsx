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woy Datta\Documents\"/>
    </mc:Choice>
  </mc:AlternateContent>
  <xr:revisionPtr revIDLastSave="0" documentId="8_{31C2D4B3-D110-40A5-A54A-D659AFBBCBEE}" xr6:coauthVersionLast="47" xr6:coauthVersionMax="47" xr10:uidLastSave="{00000000-0000-0000-0000-000000000000}"/>
  <bookViews>
    <workbookView xWindow="-108" yWindow="-108" windowWidth="23256" windowHeight="12456" xr2:uid="{00000000-000D-0000-FFFF-FFFF00000000}"/>
  </bookViews>
  <sheets>
    <sheet name="Sheet3" sheetId="3" r:id="rId1"/>
    <sheet name="Sheet1" sheetId="1" r:id="rId2"/>
  </sheets>
  <definedNames>
    <definedName name="Slicer_Company">#N/A</definedName>
    <definedName name="Slicer_Sector">#N/A</definedName>
  </definedNames>
  <calcPr calcId="191028"/>
  <pivotCaches>
    <pivotCache cacheId="0"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<sst xmlns="http://schemas.openxmlformats.org/spreadsheetml/2006/main" count="459" uniqueCount="52">
  <si>
    <t>EBITDA</t>
  </si>
  <si>
    <t>Values</t>
  </si>
  <si>
    <t>Year</t>
  </si>
  <si>
    <t>Average of Revenue</t>
  </si>
  <si>
    <t>Average of Net_Profit</t>
  </si>
  <si>
    <t>Average of Equity</t>
  </si>
  <si>
    <t>Average of Debt</t>
  </si>
  <si>
    <t>Total Average of Revenue</t>
  </si>
  <si>
    <t>Total Average of Net_Profit</t>
  </si>
  <si>
    <t>Total Average of Equity</t>
  </si>
  <si>
    <t>Total Average of Debt</t>
  </si>
  <si>
    <t>Sector</t>
  </si>
  <si>
    <t>Company</t>
  </si>
  <si>
    <t>(blank)</t>
  </si>
  <si>
    <t>Banking</t>
  </si>
  <si>
    <t>Axis Bank</t>
  </si>
  <si>
    <t>HDFC Bank</t>
  </si>
  <si>
    <t>ICICI Bank</t>
  </si>
  <si>
    <t>Kotak Mahindra Bank</t>
  </si>
  <si>
    <t>State Bank of India</t>
  </si>
  <si>
    <t>Banking Total</t>
  </si>
  <si>
    <t>FMCG</t>
  </si>
  <si>
    <t>Britannia</t>
  </si>
  <si>
    <t>Dabur</t>
  </si>
  <si>
    <t>HUL</t>
  </si>
  <si>
    <t>ITC</t>
  </si>
  <si>
    <t>Nestle</t>
  </si>
  <si>
    <t>FMCG Total</t>
  </si>
  <si>
    <t>Infra</t>
  </si>
  <si>
    <t>AdaniPorts</t>
  </si>
  <si>
    <t>GMR</t>
  </si>
  <si>
    <t>IRB</t>
  </si>
  <si>
    <t>JSWInfra</t>
  </si>
  <si>
    <t>LT</t>
  </si>
  <si>
    <t>Infra Total</t>
  </si>
  <si>
    <t>IT</t>
  </si>
  <si>
    <t>HCL</t>
  </si>
  <si>
    <t>Infosys</t>
  </si>
  <si>
    <t>TCS</t>
  </si>
  <si>
    <t>TechMahindra</t>
  </si>
  <si>
    <t>Wipro</t>
  </si>
  <si>
    <t>IT Total</t>
  </si>
  <si>
    <t>(blank) Total</t>
  </si>
  <si>
    <t>Grand Total</t>
  </si>
  <si>
    <t>Revenue</t>
  </si>
  <si>
    <t>Net_Profit</t>
  </si>
  <si>
    <t>Debt</t>
  </si>
  <si>
    <t>Equity</t>
  </si>
  <si>
    <t>Total_Assets</t>
  </si>
  <si>
    <t>Total_Liabilities</t>
  </si>
  <si>
    <t>Sum of Debt_to_Equity</t>
  </si>
  <si>
    <t>Total Sum of Debt_to_Equity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</si>
</sst>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pivotButton="1"/>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[CreditAnalytics.xlsx]Sheet3!PivotTable1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Sheet3!$C$3:$C$5</c:f>
              <c:strCache>
                <c:ptCount val="1"/>
                <c:pt idx="0">
                  <c:v>Average of Revenue - 2016</c:v>
                </c:pt>
              </c:strCache>
            </c:strRef>
          </c:tx>
          <c:spPr>
            <a:solidFill>
              <a:schemeClr val="accent1"/>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Sheet3!$C$6:$C$32</c:f>
              <c:numCache>
                <c:formatCode>General</c:formatCode>
                <c:ptCount val="21"/>
                <c:pt idx="0">
                  <c:v>41409</c:v>
                </c:pt>
                <c:pt idx="1">
                  <c:v>63162</c:v>
                </c:pt>
                <c:pt idx="2">
                  <c:v>59294</c:v>
                </c:pt>
                <c:pt idx="3">
                  <c:v>20402</c:v>
                </c:pt>
                <c:pt idx="4">
                  <c:v>220633</c:v>
                </c:pt>
                <c:pt idx="5">
                  <c:v>8397</c:v>
                </c:pt>
                <c:pt idx="6">
                  <c:v>7780</c:v>
                </c:pt>
                <c:pt idx="7">
                  <c:v>32186</c:v>
                </c:pt>
                <c:pt idx="8">
                  <c:v>39192</c:v>
                </c:pt>
                <c:pt idx="9">
                  <c:v>9141</c:v>
                </c:pt>
                <c:pt idx="10">
                  <c:v>7109</c:v>
                </c:pt>
                <c:pt idx="11">
                  <c:v>8261</c:v>
                </c:pt>
                <c:pt idx="12">
                  <c:v>5128</c:v>
                </c:pt>
                <c:pt idx="14">
                  <c:v>101122</c:v>
                </c:pt>
                <c:pt idx="15">
                  <c:v>31136</c:v>
                </c:pt>
                <c:pt idx="16">
                  <c:v>53319</c:v>
                </c:pt>
                <c:pt idx="17">
                  <c:v>108646</c:v>
                </c:pt>
                <c:pt idx="18">
                  <c:v>26494</c:v>
                </c:pt>
                <c:pt idx="19">
                  <c:v>51244</c:v>
                </c:pt>
              </c:numCache>
            </c:numRef>
          </c:val>
          <c:extLst>
            <c:ext xmlns:c16="http://schemas.microsoft.com/office/drawing/2014/chart" uri="{C3380CC4-5D6E-409C-BE32-E72D297353CC}">
              <c16:uniqueId val="{00000000-F335-478E-95DB-617D70C084CF}"/>
            </c:ext>
          </c:extLst>
        </c:ser>
        <c:ser>
          <c:idx val="1"/>
          <c:order val="1"/>
          <c:tx>
            <c:strRef>
              <c:f>Sheet3!$D$3:$D$5</c:f>
              <c:strCache>
                <c:ptCount val="1"/>
                <c:pt idx="0">
                  <c:v>Average of Revenue - 2017</c:v>
                </c:pt>
              </c:strCache>
            </c:strRef>
          </c:tx>
          <c:spPr>
            <a:solidFill>
              <a:schemeClr val="accent2"/>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Sheet3!$D$6:$D$32</c:f>
              <c:numCache>
                <c:formatCode>General</c:formatCode>
                <c:ptCount val="21"/>
                <c:pt idx="0">
                  <c:v>45175</c:v>
                </c:pt>
                <c:pt idx="1">
                  <c:v>73271</c:v>
                </c:pt>
                <c:pt idx="2">
                  <c:v>60940</c:v>
                </c:pt>
                <c:pt idx="3">
                  <c:v>22324</c:v>
                </c:pt>
                <c:pt idx="4">
                  <c:v>230447</c:v>
                </c:pt>
                <c:pt idx="5">
                  <c:v>9054</c:v>
                </c:pt>
                <c:pt idx="6">
                  <c:v>7614</c:v>
                </c:pt>
                <c:pt idx="7">
                  <c:v>33162</c:v>
                </c:pt>
                <c:pt idx="8">
                  <c:v>42768</c:v>
                </c:pt>
                <c:pt idx="9">
                  <c:v>10010</c:v>
                </c:pt>
                <c:pt idx="10">
                  <c:v>8439</c:v>
                </c:pt>
                <c:pt idx="11">
                  <c:v>9557</c:v>
                </c:pt>
                <c:pt idx="12">
                  <c:v>5846</c:v>
                </c:pt>
                <c:pt idx="13">
                  <c:v>888</c:v>
                </c:pt>
                <c:pt idx="14">
                  <c:v>109312</c:v>
                </c:pt>
                <c:pt idx="15">
                  <c:v>47568</c:v>
                </c:pt>
                <c:pt idx="16">
                  <c:v>62441</c:v>
                </c:pt>
                <c:pt idx="17">
                  <c:v>117966</c:v>
                </c:pt>
                <c:pt idx="18">
                  <c:v>29141</c:v>
                </c:pt>
                <c:pt idx="19">
                  <c:v>55448</c:v>
                </c:pt>
              </c:numCache>
            </c:numRef>
          </c:val>
          <c:extLst>
            <c:ext xmlns:c16="http://schemas.microsoft.com/office/drawing/2014/chart" uri="{C3380CC4-5D6E-409C-BE32-E72D297353CC}">
              <c16:uniqueId val="{00000001-F335-478E-95DB-617D70C084CF}"/>
            </c:ext>
          </c:extLst>
        </c:ser>
        <c:ser>
          <c:idx val="2"/>
          <c:order val="2"/>
          <c:tx>
            <c:strRef>
              <c:f>Sheet3!$E$3:$E$5</c:f>
              <c:strCache>
                <c:ptCount val="1"/>
                <c:pt idx="0">
                  <c:v>Average of Revenue - 2018</c:v>
                </c:pt>
              </c:strCache>
            </c:strRef>
          </c:tx>
          <c:spPr>
            <a:solidFill>
              <a:schemeClr val="accent3"/>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Sheet3!$E$6:$E$32</c:f>
              <c:numCache>
                <c:formatCode>General</c:formatCode>
                <c:ptCount val="21"/>
                <c:pt idx="0">
                  <c:v>46614</c:v>
                </c:pt>
                <c:pt idx="1">
                  <c:v>85288</c:v>
                </c:pt>
                <c:pt idx="2">
                  <c:v>62162</c:v>
                </c:pt>
                <c:pt idx="3">
                  <c:v>25131</c:v>
                </c:pt>
                <c:pt idx="4">
                  <c:v>228970</c:v>
                </c:pt>
                <c:pt idx="5">
                  <c:v>9914</c:v>
                </c:pt>
                <c:pt idx="6">
                  <c:v>7722</c:v>
                </c:pt>
                <c:pt idx="7">
                  <c:v>35545</c:v>
                </c:pt>
                <c:pt idx="8">
                  <c:v>43449</c:v>
                </c:pt>
                <c:pt idx="9">
                  <c:v>11292</c:v>
                </c:pt>
                <c:pt idx="10">
                  <c:v>11323</c:v>
                </c:pt>
                <c:pt idx="11">
                  <c:v>8556</c:v>
                </c:pt>
                <c:pt idx="12">
                  <c:v>5694</c:v>
                </c:pt>
                <c:pt idx="13">
                  <c:v>998</c:v>
                </c:pt>
                <c:pt idx="14">
                  <c:v>119683</c:v>
                </c:pt>
                <c:pt idx="15">
                  <c:v>50569</c:v>
                </c:pt>
                <c:pt idx="16">
                  <c:v>68484</c:v>
                </c:pt>
                <c:pt idx="17">
                  <c:v>123104</c:v>
                </c:pt>
                <c:pt idx="18">
                  <c:v>30773</c:v>
                </c:pt>
                <c:pt idx="19">
                  <c:v>54487</c:v>
                </c:pt>
              </c:numCache>
            </c:numRef>
          </c:val>
          <c:extLst>
            <c:ext xmlns:c16="http://schemas.microsoft.com/office/drawing/2014/chart" uri="{C3380CC4-5D6E-409C-BE32-E72D297353CC}">
              <c16:uniqueId val="{00000002-F335-478E-95DB-617D70C084CF}"/>
            </c:ext>
          </c:extLst>
        </c:ser>
        <c:ser>
          <c:idx val="3"/>
          <c:order val="3"/>
          <c:tx>
            <c:strRef>
              <c:f>Sheet3!$F$3:$F$5</c:f>
              <c:strCache>
                <c:ptCount val="1"/>
                <c:pt idx="0">
                  <c:v>Average of Revenue - 2019</c:v>
                </c:pt>
              </c:strCache>
            </c:strRef>
          </c:tx>
          <c:spPr>
            <a:solidFill>
              <a:schemeClr val="accent4"/>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Sheet3!$F$6:$F$32</c:f>
              <c:numCache>
                <c:formatCode>General</c:formatCode>
                <c:ptCount val="21"/>
                <c:pt idx="0">
                  <c:v>56044</c:v>
                </c:pt>
                <c:pt idx="1">
                  <c:v>105161</c:v>
                </c:pt>
                <c:pt idx="2">
                  <c:v>71982</c:v>
                </c:pt>
                <c:pt idx="3">
                  <c:v>29831</c:v>
                </c:pt>
                <c:pt idx="4">
                  <c:v>253322</c:v>
                </c:pt>
                <c:pt idx="5">
                  <c:v>11055</c:v>
                </c:pt>
                <c:pt idx="6">
                  <c:v>8515</c:v>
                </c:pt>
                <c:pt idx="7">
                  <c:v>39310</c:v>
                </c:pt>
                <c:pt idx="8">
                  <c:v>48340</c:v>
                </c:pt>
                <c:pt idx="9">
                  <c:v>12369</c:v>
                </c:pt>
                <c:pt idx="10">
                  <c:v>10925</c:v>
                </c:pt>
                <c:pt idx="11">
                  <c:v>7411</c:v>
                </c:pt>
                <c:pt idx="12">
                  <c:v>6707</c:v>
                </c:pt>
                <c:pt idx="13">
                  <c:v>1080</c:v>
                </c:pt>
                <c:pt idx="14">
                  <c:v>135220</c:v>
                </c:pt>
                <c:pt idx="15">
                  <c:v>60427</c:v>
                </c:pt>
                <c:pt idx="16">
                  <c:v>70522</c:v>
                </c:pt>
                <c:pt idx="17">
                  <c:v>146463</c:v>
                </c:pt>
                <c:pt idx="18">
                  <c:v>34742</c:v>
                </c:pt>
                <c:pt idx="19">
                  <c:v>59019</c:v>
                </c:pt>
              </c:numCache>
            </c:numRef>
          </c:val>
          <c:extLst>
            <c:ext xmlns:c16="http://schemas.microsoft.com/office/drawing/2014/chart" uri="{C3380CC4-5D6E-409C-BE32-E72D297353CC}">
              <c16:uniqueId val="{00000003-F335-478E-95DB-617D70C084CF}"/>
            </c:ext>
          </c:extLst>
        </c:ser>
        <c:ser>
          <c:idx val="4"/>
          <c:order val="4"/>
          <c:tx>
            <c:strRef>
              <c:f>Sheet3!$G$3:$G$5</c:f>
              <c:strCache>
                <c:ptCount val="1"/>
                <c:pt idx="0">
                  <c:v>Average of Revenue - 2020</c:v>
                </c:pt>
              </c:strCache>
            </c:strRef>
          </c:tx>
          <c:spPr>
            <a:solidFill>
              <a:schemeClr val="accent5"/>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Sheet3!$G$6:$G$32</c:f>
              <c:numCache>
                <c:formatCode>General</c:formatCode>
                <c:ptCount val="21"/>
                <c:pt idx="0">
                  <c:v>63716</c:v>
                </c:pt>
                <c:pt idx="1">
                  <c:v>122189</c:v>
                </c:pt>
                <c:pt idx="2">
                  <c:v>84836</c:v>
                </c:pt>
                <c:pt idx="3">
                  <c:v>33474</c:v>
                </c:pt>
                <c:pt idx="4">
                  <c:v>269852</c:v>
                </c:pt>
                <c:pt idx="5">
                  <c:v>11600</c:v>
                </c:pt>
                <c:pt idx="6">
                  <c:v>8685</c:v>
                </c:pt>
                <c:pt idx="7">
                  <c:v>39783</c:v>
                </c:pt>
                <c:pt idx="8">
                  <c:v>49388</c:v>
                </c:pt>
                <c:pt idx="9">
                  <c:v>13350</c:v>
                </c:pt>
                <c:pt idx="10">
                  <c:v>11873</c:v>
                </c:pt>
                <c:pt idx="11">
                  <c:v>8395</c:v>
                </c:pt>
                <c:pt idx="12">
                  <c:v>6852</c:v>
                </c:pt>
                <c:pt idx="13">
                  <c:v>1143</c:v>
                </c:pt>
                <c:pt idx="14">
                  <c:v>145452</c:v>
                </c:pt>
                <c:pt idx="15">
                  <c:v>70676</c:v>
                </c:pt>
                <c:pt idx="16">
                  <c:v>82675</c:v>
                </c:pt>
                <c:pt idx="17">
                  <c:v>156949</c:v>
                </c:pt>
                <c:pt idx="18">
                  <c:v>36868</c:v>
                </c:pt>
                <c:pt idx="19">
                  <c:v>61138</c:v>
                </c:pt>
              </c:numCache>
            </c:numRef>
          </c:val>
          <c:extLst>
            <c:ext xmlns:c16="http://schemas.microsoft.com/office/drawing/2014/chart" uri="{C3380CC4-5D6E-409C-BE32-E72D297353CC}">
              <c16:uniqueId val="{00000004-F335-478E-95DB-617D70C084CF}"/>
            </c:ext>
          </c:extLst>
        </c:ser>
        <c:ser>
          <c:idx val="5"/>
          <c:order val="5"/>
          <c:tx>
            <c:strRef>
              <c:f>Sheet3!$H$3:$H$5</c:f>
              <c:strCache>
                <c:ptCount val="1"/>
                <c:pt idx="0">
                  <c:v>Average of Revenue - 2021</c:v>
                </c:pt>
              </c:strCache>
            </c:strRef>
          </c:tx>
          <c:spPr>
            <a:solidFill>
              <a:schemeClr val="accent6"/>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Sheet3!$H$6:$H$32</c:f>
              <c:numCache>
                <c:formatCode>General</c:formatCode>
                <c:ptCount val="21"/>
                <c:pt idx="0">
                  <c:v>64397</c:v>
                </c:pt>
                <c:pt idx="1">
                  <c:v>128552</c:v>
                </c:pt>
                <c:pt idx="2">
                  <c:v>89163</c:v>
                </c:pt>
                <c:pt idx="3">
                  <c:v>32820</c:v>
                </c:pt>
                <c:pt idx="4">
                  <c:v>278115</c:v>
                </c:pt>
                <c:pt idx="5">
                  <c:v>13136</c:v>
                </c:pt>
                <c:pt idx="6">
                  <c:v>9562</c:v>
                </c:pt>
                <c:pt idx="7">
                  <c:v>47028</c:v>
                </c:pt>
                <c:pt idx="8">
                  <c:v>49257</c:v>
                </c:pt>
                <c:pt idx="9">
                  <c:v>14741</c:v>
                </c:pt>
                <c:pt idx="10">
                  <c:v>12550</c:v>
                </c:pt>
                <c:pt idx="11">
                  <c:v>3566</c:v>
                </c:pt>
                <c:pt idx="12">
                  <c:v>5299</c:v>
                </c:pt>
                <c:pt idx="13">
                  <c:v>1604</c:v>
                </c:pt>
                <c:pt idx="14">
                  <c:v>135979</c:v>
                </c:pt>
                <c:pt idx="15">
                  <c:v>75379</c:v>
                </c:pt>
                <c:pt idx="16">
                  <c:v>90791</c:v>
                </c:pt>
                <c:pt idx="17">
                  <c:v>164177</c:v>
                </c:pt>
                <c:pt idx="18">
                  <c:v>37855</c:v>
                </c:pt>
                <c:pt idx="19">
                  <c:v>61935</c:v>
                </c:pt>
              </c:numCache>
            </c:numRef>
          </c:val>
          <c:extLst>
            <c:ext xmlns:c16="http://schemas.microsoft.com/office/drawing/2014/chart" uri="{C3380CC4-5D6E-409C-BE32-E72D297353CC}">
              <c16:uniqueId val="{00000005-F335-478E-95DB-617D70C084CF}"/>
            </c:ext>
          </c:extLst>
        </c:ser>
        <c:ser>
          <c:idx val="6"/>
          <c:order val="6"/>
          <c:tx>
            <c:strRef>
              <c:f>Sheet3!$I$3:$I$5</c:f>
              <c:strCache>
                <c:ptCount val="1"/>
                <c:pt idx="0">
                  <c:v>Average of Revenue - 2022</c:v>
                </c:pt>
              </c:strCache>
            </c:strRef>
          </c:tx>
          <c:spPr>
            <a:solidFill>
              <a:schemeClr val="accent1">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Sheet3!$I$6:$I$32</c:f>
              <c:numCache>
                <c:formatCode>General</c:formatCode>
                <c:ptCount val="21"/>
                <c:pt idx="0">
                  <c:v>68846</c:v>
                </c:pt>
                <c:pt idx="1">
                  <c:v>135936</c:v>
                </c:pt>
                <c:pt idx="2">
                  <c:v>95407</c:v>
                </c:pt>
                <c:pt idx="3">
                  <c:v>33741</c:v>
                </c:pt>
                <c:pt idx="4">
                  <c:v>289973</c:v>
                </c:pt>
                <c:pt idx="5">
                  <c:v>14136</c:v>
                </c:pt>
                <c:pt idx="6">
                  <c:v>10889</c:v>
                </c:pt>
                <c:pt idx="7">
                  <c:v>52446</c:v>
                </c:pt>
                <c:pt idx="8">
                  <c:v>60645</c:v>
                </c:pt>
                <c:pt idx="9">
                  <c:v>16897</c:v>
                </c:pt>
                <c:pt idx="10">
                  <c:v>17119</c:v>
                </c:pt>
                <c:pt idx="11">
                  <c:v>4601</c:v>
                </c:pt>
                <c:pt idx="12">
                  <c:v>5804</c:v>
                </c:pt>
                <c:pt idx="13">
                  <c:v>2273</c:v>
                </c:pt>
                <c:pt idx="14">
                  <c:v>156521</c:v>
                </c:pt>
                <c:pt idx="15">
                  <c:v>85651</c:v>
                </c:pt>
                <c:pt idx="16">
                  <c:v>100472</c:v>
                </c:pt>
                <c:pt idx="17">
                  <c:v>191754</c:v>
                </c:pt>
                <c:pt idx="18">
                  <c:v>44646</c:v>
                </c:pt>
                <c:pt idx="19">
                  <c:v>79312</c:v>
                </c:pt>
              </c:numCache>
            </c:numRef>
          </c:val>
          <c:extLst>
            <c:ext xmlns:c16="http://schemas.microsoft.com/office/drawing/2014/chart" uri="{C3380CC4-5D6E-409C-BE32-E72D297353CC}">
              <c16:uniqueId val="{00000006-F335-478E-95DB-617D70C084CF}"/>
            </c:ext>
          </c:extLst>
        </c:ser>
        <c:ser>
          <c:idx val="7"/>
          <c:order val="7"/>
          <c:tx>
            <c:strRef>
              <c:f>Sheet3!$J$3:$J$5</c:f>
              <c:strCache>
                <c:ptCount val="1"/>
                <c:pt idx="0">
                  <c:v>Average of Revenue - 2023</c:v>
                </c:pt>
              </c:strCache>
            </c:strRef>
          </c:tx>
          <c:spPr>
            <a:solidFill>
              <a:schemeClr val="accent2">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Sheet3!$J$6:$J$32</c:f>
              <c:numCache>
                <c:formatCode>General</c:formatCode>
                <c:ptCount val="21"/>
                <c:pt idx="0">
                  <c:v>87448</c:v>
                </c:pt>
                <c:pt idx="1">
                  <c:v>170754</c:v>
                </c:pt>
                <c:pt idx="2">
                  <c:v>121067</c:v>
                </c:pt>
                <c:pt idx="3">
                  <c:v>42151</c:v>
                </c:pt>
                <c:pt idx="4">
                  <c:v>350845</c:v>
                </c:pt>
                <c:pt idx="5">
                  <c:v>16301</c:v>
                </c:pt>
                <c:pt idx="6">
                  <c:v>11530</c:v>
                </c:pt>
                <c:pt idx="7">
                  <c:v>60580</c:v>
                </c:pt>
                <c:pt idx="8">
                  <c:v>70919</c:v>
                </c:pt>
                <c:pt idx="9">
                  <c:v>19126</c:v>
                </c:pt>
                <c:pt idx="10">
                  <c:v>20852</c:v>
                </c:pt>
                <c:pt idx="11">
                  <c:v>6674</c:v>
                </c:pt>
                <c:pt idx="12">
                  <c:v>6402</c:v>
                </c:pt>
                <c:pt idx="13">
                  <c:v>3195</c:v>
                </c:pt>
                <c:pt idx="14">
                  <c:v>183341</c:v>
                </c:pt>
                <c:pt idx="15">
                  <c:v>101456</c:v>
                </c:pt>
                <c:pt idx="16">
                  <c:v>121641</c:v>
                </c:pt>
                <c:pt idx="17">
                  <c:v>225458</c:v>
                </c:pt>
                <c:pt idx="18">
                  <c:v>53290</c:v>
                </c:pt>
                <c:pt idx="19">
                  <c:v>90488</c:v>
                </c:pt>
              </c:numCache>
            </c:numRef>
          </c:val>
          <c:extLst>
            <c:ext xmlns:c16="http://schemas.microsoft.com/office/drawing/2014/chart" uri="{C3380CC4-5D6E-409C-BE32-E72D297353CC}">
              <c16:uniqueId val="{00000007-F335-478E-95DB-617D70C084CF}"/>
            </c:ext>
          </c:extLst>
        </c:ser>
        <c:ser>
          <c:idx val="8"/>
          <c:order val="8"/>
          <c:tx>
            <c:strRef>
              <c:f>Sheet3!$K$3:$K$5</c:f>
              <c:strCache>
                <c:ptCount val="1"/>
                <c:pt idx="0">
                  <c:v>Average of Revenue - 2024</c:v>
                </c:pt>
              </c:strCache>
            </c:strRef>
          </c:tx>
          <c:spPr>
            <a:solidFill>
              <a:schemeClr val="accent3">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Sheet3!$K$6:$K$32</c:f>
              <c:numCache>
                <c:formatCode>General</c:formatCode>
                <c:ptCount val="21"/>
                <c:pt idx="0">
                  <c:v>112759</c:v>
                </c:pt>
                <c:pt idx="1">
                  <c:v>283649</c:v>
                </c:pt>
                <c:pt idx="2">
                  <c:v>159516</c:v>
                </c:pt>
                <c:pt idx="3">
                  <c:v>56237</c:v>
                </c:pt>
                <c:pt idx="4">
                  <c:v>439189</c:v>
                </c:pt>
                <c:pt idx="5">
                  <c:v>16769</c:v>
                </c:pt>
                <c:pt idx="6">
                  <c:v>12404</c:v>
                </c:pt>
                <c:pt idx="7">
                  <c:v>61896</c:v>
                </c:pt>
                <c:pt idx="8">
                  <c:v>67932</c:v>
                </c:pt>
                <c:pt idx="9">
                  <c:v>24394</c:v>
                </c:pt>
                <c:pt idx="10">
                  <c:v>26711</c:v>
                </c:pt>
                <c:pt idx="11">
                  <c:v>8755</c:v>
                </c:pt>
                <c:pt idx="12">
                  <c:v>7409</c:v>
                </c:pt>
                <c:pt idx="13">
                  <c:v>3763</c:v>
                </c:pt>
                <c:pt idx="14">
                  <c:v>221113</c:v>
                </c:pt>
                <c:pt idx="15">
                  <c:v>109913</c:v>
                </c:pt>
                <c:pt idx="16">
                  <c:v>146767</c:v>
                </c:pt>
                <c:pt idx="17">
                  <c:v>240893</c:v>
                </c:pt>
                <c:pt idx="18">
                  <c:v>51996</c:v>
                </c:pt>
                <c:pt idx="19">
                  <c:v>89760</c:v>
                </c:pt>
              </c:numCache>
            </c:numRef>
          </c:val>
          <c:extLst>
            <c:ext xmlns:c16="http://schemas.microsoft.com/office/drawing/2014/chart" uri="{C3380CC4-5D6E-409C-BE32-E72D297353CC}">
              <c16:uniqueId val="{00000008-F335-478E-95DB-617D70C084CF}"/>
            </c:ext>
          </c:extLst>
        </c:ser>
        <c:ser>
          <c:idx val="9"/>
          <c:order val="9"/>
          <c:tx>
            <c:strRef>
              <c:f>Sheet3!$L$3:$L$5</c:f>
              <c:strCache>
                <c:ptCount val="1"/>
                <c:pt idx="0">
                  <c:v>Average of Revenue - 2025</c:v>
                </c:pt>
              </c:strCache>
            </c:strRef>
          </c:tx>
          <c:spPr>
            <a:solidFill>
              <a:schemeClr val="accent4">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Sheet3!$L$6:$L$32</c:f>
              <c:numCache>
                <c:formatCode>General</c:formatCode>
                <c:ptCount val="21"/>
                <c:pt idx="0">
                  <c:v>127374</c:v>
                </c:pt>
                <c:pt idx="1">
                  <c:v>336367</c:v>
                </c:pt>
                <c:pt idx="2">
                  <c:v>186331</c:v>
                </c:pt>
                <c:pt idx="3">
                  <c:v>65669</c:v>
                </c:pt>
                <c:pt idx="4">
                  <c:v>490938</c:v>
                </c:pt>
                <c:pt idx="5">
                  <c:v>17943</c:v>
                </c:pt>
                <c:pt idx="6">
                  <c:v>12563</c:v>
                </c:pt>
                <c:pt idx="7">
                  <c:v>63121</c:v>
                </c:pt>
                <c:pt idx="8">
                  <c:v>75323</c:v>
                </c:pt>
                <c:pt idx="9">
                  <c:v>20202</c:v>
                </c:pt>
                <c:pt idx="10">
                  <c:v>30475</c:v>
                </c:pt>
                <c:pt idx="11">
                  <c:v>10414</c:v>
                </c:pt>
                <c:pt idx="12">
                  <c:v>7613</c:v>
                </c:pt>
                <c:pt idx="13">
                  <c:v>4476</c:v>
                </c:pt>
                <c:pt idx="14">
                  <c:v>255734</c:v>
                </c:pt>
                <c:pt idx="15">
                  <c:v>117055</c:v>
                </c:pt>
                <c:pt idx="16">
                  <c:v>162990</c:v>
                </c:pt>
                <c:pt idx="17">
                  <c:v>255324</c:v>
                </c:pt>
                <c:pt idx="18">
                  <c:v>52988</c:v>
                </c:pt>
                <c:pt idx="19">
                  <c:v>89088</c:v>
                </c:pt>
              </c:numCache>
            </c:numRef>
          </c:val>
          <c:extLst>
            <c:ext xmlns:c16="http://schemas.microsoft.com/office/drawing/2014/chart" uri="{C3380CC4-5D6E-409C-BE32-E72D297353CC}">
              <c16:uniqueId val="{00000009-F335-478E-95DB-617D70C084CF}"/>
            </c:ext>
          </c:extLst>
        </c:ser>
        <c:ser>
          <c:idx val="10"/>
          <c:order val="10"/>
          <c:tx>
            <c:strRef>
              <c:f>Sheet3!$M$3:$M$5</c:f>
              <c:strCache>
                <c:ptCount val="1"/>
                <c:pt idx="0">
                  <c:v>Average of Revenue - (blank)</c:v>
                </c:pt>
              </c:strCache>
            </c:strRef>
          </c:tx>
          <c:spPr>
            <a:solidFill>
              <a:schemeClr val="accent5">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Sheet3!$M$6:$M$32</c:f>
              <c:numCache>
                <c:formatCode>General</c:formatCode>
                <c:ptCount val="21"/>
              </c:numCache>
            </c:numRef>
          </c:val>
          <c:extLst>
            <c:ext xmlns:c16="http://schemas.microsoft.com/office/drawing/2014/chart" uri="{C3380CC4-5D6E-409C-BE32-E72D297353CC}">
              <c16:uniqueId val="{0000000A-F335-478E-95DB-617D70C084CF}"/>
            </c:ext>
          </c:extLst>
        </c:ser>
        <c:ser>
          <c:idx val="11"/>
          <c:order val="11"/>
          <c:tx>
            <c:strRef>
              <c:f>Sheet3!$N$3:$N$5</c:f>
              <c:strCache>
                <c:ptCount val="1"/>
                <c:pt idx="0">
                  <c:v>Average of Net_Profit - 2016</c:v>
                </c:pt>
              </c:strCache>
            </c:strRef>
          </c:tx>
          <c:spPr>
            <a:solidFill>
              <a:schemeClr val="accent6">
                <a:lumMod val="6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Sheet3!$N$6:$N$32</c:f>
              <c:numCache>
                <c:formatCode>General</c:formatCode>
                <c:ptCount val="21"/>
                <c:pt idx="0">
                  <c:v>8358</c:v>
                </c:pt>
                <c:pt idx="1">
                  <c:v>12821</c:v>
                </c:pt>
                <c:pt idx="2">
                  <c:v>10927</c:v>
                </c:pt>
                <c:pt idx="3">
                  <c:v>3524</c:v>
                </c:pt>
                <c:pt idx="4">
                  <c:v>13019</c:v>
                </c:pt>
                <c:pt idx="5">
                  <c:v>825</c:v>
                </c:pt>
                <c:pt idx="6">
                  <c:v>1254</c:v>
                </c:pt>
                <c:pt idx="7">
                  <c:v>4151</c:v>
                </c:pt>
                <c:pt idx="8">
                  <c:v>9501</c:v>
                </c:pt>
                <c:pt idx="9">
                  <c:v>1001</c:v>
                </c:pt>
                <c:pt idx="10">
                  <c:v>2856</c:v>
                </c:pt>
                <c:pt idx="11">
                  <c:v>-2749</c:v>
                </c:pt>
                <c:pt idx="12">
                  <c:v>640</c:v>
                </c:pt>
                <c:pt idx="14">
                  <c:v>4592</c:v>
                </c:pt>
                <c:pt idx="15">
                  <c:v>5602</c:v>
                </c:pt>
                <c:pt idx="16">
                  <c:v>12372</c:v>
                </c:pt>
                <c:pt idx="17">
                  <c:v>24338</c:v>
                </c:pt>
                <c:pt idx="18">
                  <c:v>3027</c:v>
                </c:pt>
                <c:pt idx="19">
                  <c:v>8957</c:v>
                </c:pt>
              </c:numCache>
            </c:numRef>
          </c:val>
          <c:extLst>
            <c:ext xmlns:c16="http://schemas.microsoft.com/office/drawing/2014/chart" uri="{C3380CC4-5D6E-409C-BE32-E72D297353CC}">
              <c16:uniqueId val="{0000000B-F335-478E-95DB-617D70C084CF}"/>
            </c:ext>
          </c:extLst>
        </c:ser>
        <c:ser>
          <c:idx val="12"/>
          <c:order val="12"/>
          <c:tx>
            <c:strRef>
              <c:f>Sheet3!$O$3:$O$5</c:f>
              <c:strCache>
                <c:ptCount val="1"/>
                <c:pt idx="0">
                  <c:v>Average of Net_Profit - 2017</c:v>
                </c:pt>
              </c:strCache>
            </c:strRef>
          </c:tx>
          <c:spPr>
            <a:solidFill>
              <a:schemeClr val="accent1">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Sheet3!$O$6:$O$32</c:f>
              <c:numCache>
                <c:formatCode>General</c:formatCode>
                <c:ptCount val="21"/>
                <c:pt idx="0">
                  <c:v>3967</c:v>
                </c:pt>
                <c:pt idx="1">
                  <c:v>15317</c:v>
                </c:pt>
                <c:pt idx="2">
                  <c:v>11340</c:v>
                </c:pt>
                <c:pt idx="3">
                  <c:v>5019</c:v>
                </c:pt>
                <c:pt idx="4">
                  <c:v>-97</c:v>
                </c:pt>
                <c:pt idx="5">
                  <c:v>885</c:v>
                </c:pt>
                <c:pt idx="6">
                  <c:v>1280</c:v>
                </c:pt>
                <c:pt idx="7">
                  <c:v>4490</c:v>
                </c:pt>
                <c:pt idx="8">
                  <c:v>10477</c:v>
                </c:pt>
                <c:pt idx="9">
                  <c:v>1225</c:v>
                </c:pt>
                <c:pt idx="10">
                  <c:v>3902</c:v>
                </c:pt>
                <c:pt idx="11">
                  <c:v>-347</c:v>
                </c:pt>
                <c:pt idx="12">
                  <c:v>715</c:v>
                </c:pt>
                <c:pt idx="13">
                  <c:v>310</c:v>
                </c:pt>
                <c:pt idx="14">
                  <c:v>6486</c:v>
                </c:pt>
                <c:pt idx="15">
                  <c:v>8606</c:v>
                </c:pt>
                <c:pt idx="16">
                  <c:v>13489</c:v>
                </c:pt>
                <c:pt idx="17">
                  <c:v>26357</c:v>
                </c:pt>
                <c:pt idx="18">
                  <c:v>2851</c:v>
                </c:pt>
                <c:pt idx="19">
                  <c:v>8518</c:v>
                </c:pt>
              </c:numCache>
            </c:numRef>
          </c:val>
          <c:extLst>
            <c:ext xmlns:c16="http://schemas.microsoft.com/office/drawing/2014/chart" uri="{C3380CC4-5D6E-409C-BE32-E72D297353CC}">
              <c16:uniqueId val="{0000000C-F335-478E-95DB-617D70C084CF}"/>
            </c:ext>
          </c:extLst>
        </c:ser>
        <c:ser>
          <c:idx val="13"/>
          <c:order val="13"/>
          <c:tx>
            <c:strRef>
              <c:f>Sheet3!$P$3:$P$5</c:f>
              <c:strCache>
                <c:ptCount val="1"/>
                <c:pt idx="0">
                  <c:v>Average of Net_Profit - 2018</c:v>
                </c:pt>
              </c:strCache>
            </c:strRef>
          </c:tx>
          <c:spPr>
            <a:solidFill>
              <a:schemeClr val="accent2">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Sheet3!$P$6:$P$32</c:f>
              <c:numCache>
                <c:formatCode>General</c:formatCode>
                <c:ptCount val="21"/>
                <c:pt idx="0">
                  <c:v>464</c:v>
                </c:pt>
                <c:pt idx="1">
                  <c:v>18561</c:v>
                </c:pt>
                <c:pt idx="2">
                  <c:v>9100</c:v>
                </c:pt>
                <c:pt idx="3">
                  <c:v>6258</c:v>
                </c:pt>
                <c:pt idx="4">
                  <c:v>-3749</c:v>
                </c:pt>
                <c:pt idx="5">
                  <c:v>1004</c:v>
                </c:pt>
                <c:pt idx="6">
                  <c:v>1358</c:v>
                </c:pt>
                <c:pt idx="7">
                  <c:v>5227</c:v>
                </c:pt>
                <c:pt idx="8">
                  <c:v>11493</c:v>
                </c:pt>
                <c:pt idx="9">
                  <c:v>1607</c:v>
                </c:pt>
                <c:pt idx="10">
                  <c:v>3690</c:v>
                </c:pt>
                <c:pt idx="11">
                  <c:v>-1115</c:v>
                </c:pt>
                <c:pt idx="12">
                  <c:v>920</c:v>
                </c:pt>
                <c:pt idx="13">
                  <c:v>281</c:v>
                </c:pt>
                <c:pt idx="14">
                  <c:v>8004</c:v>
                </c:pt>
                <c:pt idx="15">
                  <c:v>8722</c:v>
                </c:pt>
                <c:pt idx="16">
                  <c:v>14353</c:v>
                </c:pt>
                <c:pt idx="17">
                  <c:v>25880</c:v>
                </c:pt>
                <c:pt idx="18">
                  <c:v>3786</c:v>
                </c:pt>
                <c:pt idx="19">
                  <c:v>8003</c:v>
                </c:pt>
              </c:numCache>
            </c:numRef>
          </c:val>
          <c:extLst>
            <c:ext xmlns:c16="http://schemas.microsoft.com/office/drawing/2014/chart" uri="{C3380CC4-5D6E-409C-BE32-E72D297353CC}">
              <c16:uniqueId val="{0000000D-F335-478E-95DB-617D70C084CF}"/>
            </c:ext>
          </c:extLst>
        </c:ser>
        <c:ser>
          <c:idx val="14"/>
          <c:order val="14"/>
          <c:tx>
            <c:strRef>
              <c:f>Sheet3!$Q$3:$Q$5</c:f>
              <c:strCache>
                <c:ptCount val="1"/>
                <c:pt idx="0">
                  <c:v>Average of Net_Profit - 2019</c:v>
                </c:pt>
              </c:strCache>
            </c:strRef>
          </c:tx>
          <c:spPr>
            <a:solidFill>
              <a:schemeClr val="accent3">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Sheet3!$Q$6:$Q$32</c:f>
              <c:numCache>
                <c:formatCode>General</c:formatCode>
                <c:ptCount val="21"/>
                <c:pt idx="0">
                  <c:v>5047</c:v>
                </c:pt>
                <c:pt idx="1">
                  <c:v>22446</c:v>
                </c:pt>
                <c:pt idx="2">
                  <c:v>5689</c:v>
                </c:pt>
                <c:pt idx="3">
                  <c:v>7204</c:v>
                </c:pt>
                <c:pt idx="4">
                  <c:v>3351</c:v>
                </c:pt>
                <c:pt idx="5">
                  <c:v>1155</c:v>
                </c:pt>
                <c:pt idx="6">
                  <c:v>1446</c:v>
                </c:pt>
                <c:pt idx="7">
                  <c:v>6060</c:v>
                </c:pt>
                <c:pt idx="8">
                  <c:v>12836</c:v>
                </c:pt>
                <c:pt idx="9">
                  <c:v>1968</c:v>
                </c:pt>
                <c:pt idx="10">
                  <c:v>4045</c:v>
                </c:pt>
                <c:pt idx="11">
                  <c:v>-3356</c:v>
                </c:pt>
                <c:pt idx="12">
                  <c:v>850</c:v>
                </c:pt>
                <c:pt idx="13">
                  <c:v>272</c:v>
                </c:pt>
                <c:pt idx="14">
                  <c:v>10217</c:v>
                </c:pt>
                <c:pt idx="15">
                  <c:v>10120</c:v>
                </c:pt>
                <c:pt idx="16">
                  <c:v>16029</c:v>
                </c:pt>
                <c:pt idx="17">
                  <c:v>31562</c:v>
                </c:pt>
                <c:pt idx="18">
                  <c:v>4289</c:v>
                </c:pt>
                <c:pt idx="19">
                  <c:v>9018</c:v>
                </c:pt>
              </c:numCache>
            </c:numRef>
          </c:val>
          <c:extLst>
            <c:ext xmlns:c16="http://schemas.microsoft.com/office/drawing/2014/chart" uri="{C3380CC4-5D6E-409C-BE32-E72D297353CC}">
              <c16:uniqueId val="{0000000E-F335-478E-95DB-617D70C084CF}"/>
            </c:ext>
          </c:extLst>
        </c:ser>
        <c:ser>
          <c:idx val="15"/>
          <c:order val="15"/>
          <c:tx>
            <c:strRef>
              <c:f>Sheet3!$R$3:$R$5</c:f>
              <c:strCache>
                <c:ptCount val="1"/>
                <c:pt idx="0">
                  <c:v>Average of Net_Profit - 2020</c:v>
                </c:pt>
              </c:strCache>
            </c:strRef>
          </c:tx>
          <c:spPr>
            <a:solidFill>
              <a:schemeClr val="accent4">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Sheet3!$R$6:$R$32</c:f>
              <c:numCache>
                <c:formatCode>General</c:formatCode>
                <c:ptCount val="21"/>
                <c:pt idx="0">
                  <c:v>1879</c:v>
                </c:pt>
                <c:pt idx="1">
                  <c:v>27296</c:v>
                </c:pt>
                <c:pt idx="2">
                  <c:v>11225</c:v>
                </c:pt>
                <c:pt idx="3">
                  <c:v>8593</c:v>
                </c:pt>
                <c:pt idx="4">
                  <c:v>21140</c:v>
                </c:pt>
                <c:pt idx="5">
                  <c:v>1394</c:v>
                </c:pt>
                <c:pt idx="6">
                  <c:v>1448</c:v>
                </c:pt>
                <c:pt idx="7">
                  <c:v>6756</c:v>
                </c:pt>
                <c:pt idx="8">
                  <c:v>15593</c:v>
                </c:pt>
                <c:pt idx="9">
                  <c:v>2082</c:v>
                </c:pt>
                <c:pt idx="10">
                  <c:v>3785</c:v>
                </c:pt>
                <c:pt idx="11">
                  <c:v>-2202</c:v>
                </c:pt>
                <c:pt idx="12">
                  <c:v>721</c:v>
                </c:pt>
                <c:pt idx="13">
                  <c:v>197</c:v>
                </c:pt>
                <c:pt idx="14">
                  <c:v>10894</c:v>
                </c:pt>
                <c:pt idx="15">
                  <c:v>11057</c:v>
                </c:pt>
                <c:pt idx="16">
                  <c:v>15410</c:v>
                </c:pt>
                <c:pt idx="17">
                  <c:v>32447</c:v>
                </c:pt>
                <c:pt idx="18">
                  <c:v>3897</c:v>
                </c:pt>
                <c:pt idx="19">
                  <c:v>9772</c:v>
                </c:pt>
              </c:numCache>
            </c:numRef>
          </c:val>
          <c:extLst>
            <c:ext xmlns:c16="http://schemas.microsoft.com/office/drawing/2014/chart" uri="{C3380CC4-5D6E-409C-BE32-E72D297353CC}">
              <c16:uniqueId val="{0000000F-F335-478E-95DB-617D70C084CF}"/>
            </c:ext>
          </c:extLst>
        </c:ser>
        <c:ser>
          <c:idx val="16"/>
          <c:order val="16"/>
          <c:tx>
            <c:strRef>
              <c:f>Sheet3!$S$3:$S$5</c:f>
              <c:strCache>
                <c:ptCount val="1"/>
                <c:pt idx="0">
                  <c:v>Average of Net_Profit - 2021</c:v>
                </c:pt>
              </c:strCache>
            </c:strRef>
          </c:tx>
          <c:spPr>
            <a:solidFill>
              <a:schemeClr val="accent5">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Sheet3!$S$6:$S$32</c:f>
              <c:numCache>
                <c:formatCode>General</c:formatCode>
                <c:ptCount val="21"/>
                <c:pt idx="0">
                  <c:v>7252</c:v>
                </c:pt>
                <c:pt idx="1">
                  <c:v>31857</c:v>
                </c:pt>
                <c:pt idx="2">
                  <c:v>20364</c:v>
                </c:pt>
                <c:pt idx="3">
                  <c:v>9990</c:v>
                </c:pt>
                <c:pt idx="4">
                  <c:v>23888</c:v>
                </c:pt>
                <c:pt idx="5">
                  <c:v>1851</c:v>
                </c:pt>
                <c:pt idx="6">
                  <c:v>1695</c:v>
                </c:pt>
                <c:pt idx="7">
                  <c:v>7999</c:v>
                </c:pt>
                <c:pt idx="8">
                  <c:v>13383</c:v>
                </c:pt>
                <c:pt idx="9">
                  <c:v>2118</c:v>
                </c:pt>
                <c:pt idx="10">
                  <c:v>5049</c:v>
                </c:pt>
                <c:pt idx="11">
                  <c:v>-3428</c:v>
                </c:pt>
                <c:pt idx="12">
                  <c:v>117</c:v>
                </c:pt>
                <c:pt idx="13">
                  <c:v>285</c:v>
                </c:pt>
                <c:pt idx="14">
                  <c:v>12921</c:v>
                </c:pt>
                <c:pt idx="15">
                  <c:v>11169</c:v>
                </c:pt>
                <c:pt idx="16">
                  <c:v>16639</c:v>
                </c:pt>
                <c:pt idx="17">
                  <c:v>32562</c:v>
                </c:pt>
                <c:pt idx="18">
                  <c:v>4353</c:v>
                </c:pt>
                <c:pt idx="19">
                  <c:v>10868</c:v>
                </c:pt>
              </c:numCache>
            </c:numRef>
          </c:val>
          <c:extLst>
            <c:ext xmlns:c16="http://schemas.microsoft.com/office/drawing/2014/chart" uri="{C3380CC4-5D6E-409C-BE32-E72D297353CC}">
              <c16:uniqueId val="{00000010-F335-478E-95DB-617D70C084CF}"/>
            </c:ext>
          </c:extLst>
        </c:ser>
        <c:ser>
          <c:idx val="17"/>
          <c:order val="17"/>
          <c:tx>
            <c:strRef>
              <c:f>Sheet3!$T$3:$T$5</c:f>
              <c:strCache>
                <c:ptCount val="1"/>
                <c:pt idx="0">
                  <c:v>Average of Net_Profit - 2022</c:v>
                </c:pt>
              </c:strCache>
            </c:strRef>
          </c:tx>
          <c:spPr>
            <a:solidFill>
              <a:schemeClr val="accent6">
                <a:lumMod val="80000"/>
                <a:lumOff val="2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Sheet3!$T$6:$T$32</c:f>
              <c:numCache>
                <c:formatCode>General</c:formatCode>
                <c:ptCount val="21"/>
                <c:pt idx="0">
                  <c:v>14207</c:v>
                </c:pt>
                <c:pt idx="1">
                  <c:v>38151</c:v>
                </c:pt>
                <c:pt idx="2">
                  <c:v>26538</c:v>
                </c:pt>
                <c:pt idx="3">
                  <c:v>12089</c:v>
                </c:pt>
                <c:pt idx="4">
                  <c:v>37183</c:v>
                </c:pt>
                <c:pt idx="5">
                  <c:v>1516</c:v>
                </c:pt>
                <c:pt idx="6">
                  <c:v>1742</c:v>
                </c:pt>
                <c:pt idx="7">
                  <c:v>8892</c:v>
                </c:pt>
                <c:pt idx="8">
                  <c:v>15503</c:v>
                </c:pt>
                <c:pt idx="9">
                  <c:v>2391</c:v>
                </c:pt>
                <c:pt idx="10">
                  <c:v>4953</c:v>
                </c:pt>
                <c:pt idx="11">
                  <c:v>-1131</c:v>
                </c:pt>
                <c:pt idx="12">
                  <c:v>361</c:v>
                </c:pt>
                <c:pt idx="13">
                  <c:v>330</c:v>
                </c:pt>
                <c:pt idx="14">
                  <c:v>10419</c:v>
                </c:pt>
                <c:pt idx="15">
                  <c:v>13523</c:v>
                </c:pt>
                <c:pt idx="16">
                  <c:v>19423</c:v>
                </c:pt>
                <c:pt idx="17">
                  <c:v>38449</c:v>
                </c:pt>
                <c:pt idx="18">
                  <c:v>5630</c:v>
                </c:pt>
                <c:pt idx="19">
                  <c:v>12243</c:v>
                </c:pt>
              </c:numCache>
            </c:numRef>
          </c:val>
          <c:extLst>
            <c:ext xmlns:c16="http://schemas.microsoft.com/office/drawing/2014/chart" uri="{C3380CC4-5D6E-409C-BE32-E72D297353CC}">
              <c16:uniqueId val="{00000011-F335-478E-95DB-617D70C084CF}"/>
            </c:ext>
          </c:extLst>
        </c:ser>
        <c:ser>
          <c:idx val="18"/>
          <c:order val="18"/>
          <c:tx>
            <c:strRef>
              <c:f>Sheet3!$U$3:$U$5</c:f>
              <c:strCache>
                <c:ptCount val="1"/>
                <c:pt idx="0">
                  <c:v>Average of Net_Profit - 2023</c:v>
                </c:pt>
              </c:strCache>
            </c:strRef>
          </c:tx>
          <c:spPr>
            <a:solidFill>
              <a:schemeClr val="accent1">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Sheet3!$U$6:$U$32</c:f>
              <c:numCache>
                <c:formatCode>General</c:formatCode>
                <c:ptCount val="21"/>
                <c:pt idx="0">
                  <c:v>10919</c:v>
                </c:pt>
                <c:pt idx="1">
                  <c:v>46149</c:v>
                </c:pt>
                <c:pt idx="2">
                  <c:v>35461</c:v>
                </c:pt>
                <c:pt idx="3">
                  <c:v>14925</c:v>
                </c:pt>
                <c:pt idx="4">
                  <c:v>57750</c:v>
                </c:pt>
                <c:pt idx="5">
                  <c:v>2316</c:v>
                </c:pt>
                <c:pt idx="6">
                  <c:v>1701</c:v>
                </c:pt>
                <c:pt idx="7">
                  <c:v>10143</c:v>
                </c:pt>
                <c:pt idx="8">
                  <c:v>19477</c:v>
                </c:pt>
                <c:pt idx="9">
                  <c:v>2999</c:v>
                </c:pt>
                <c:pt idx="10">
                  <c:v>5391</c:v>
                </c:pt>
                <c:pt idx="11">
                  <c:v>-840</c:v>
                </c:pt>
                <c:pt idx="12">
                  <c:v>720</c:v>
                </c:pt>
                <c:pt idx="13">
                  <c:v>750</c:v>
                </c:pt>
                <c:pt idx="14">
                  <c:v>12531</c:v>
                </c:pt>
                <c:pt idx="15">
                  <c:v>14845</c:v>
                </c:pt>
                <c:pt idx="16">
                  <c:v>22146</c:v>
                </c:pt>
                <c:pt idx="17">
                  <c:v>42303</c:v>
                </c:pt>
                <c:pt idx="18">
                  <c:v>4857</c:v>
                </c:pt>
                <c:pt idx="19">
                  <c:v>11366</c:v>
                </c:pt>
              </c:numCache>
            </c:numRef>
          </c:val>
          <c:extLst>
            <c:ext xmlns:c16="http://schemas.microsoft.com/office/drawing/2014/chart" uri="{C3380CC4-5D6E-409C-BE32-E72D297353CC}">
              <c16:uniqueId val="{00000012-F335-478E-95DB-617D70C084CF}"/>
            </c:ext>
          </c:extLst>
        </c:ser>
        <c:ser>
          <c:idx val="19"/>
          <c:order val="19"/>
          <c:tx>
            <c:strRef>
              <c:f>Sheet3!$V$3:$V$5</c:f>
              <c:strCache>
                <c:ptCount val="1"/>
                <c:pt idx="0">
                  <c:v>Average of Net_Profit - 2024</c:v>
                </c:pt>
              </c:strCache>
            </c:strRef>
          </c:tx>
          <c:spPr>
            <a:solidFill>
              <a:schemeClr val="accent2">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Sheet3!$V$6:$V$32</c:f>
              <c:numCache>
                <c:formatCode>General</c:formatCode>
                <c:ptCount val="21"/>
                <c:pt idx="0">
                  <c:v>26492</c:v>
                </c:pt>
                <c:pt idx="1">
                  <c:v>65446</c:v>
                </c:pt>
                <c:pt idx="2">
                  <c:v>46081</c:v>
                </c:pt>
                <c:pt idx="3">
                  <c:v>18213</c:v>
                </c:pt>
                <c:pt idx="4">
                  <c:v>69543</c:v>
                </c:pt>
                <c:pt idx="5">
                  <c:v>2134</c:v>
                </c:pt>
                <c:pt idx="6">
                  <c:v>1811</c:v>
                </c:pt>
                <c:pt idx="7">
                  <c:v>10282</c:v>
                </c:pt>
                <c:pt idx="8">
                  <c:v>20751</c:v>
                </c:pt>
                <c:pt idx="9">
                  <c:v>3933</c:v>
                </c:pt>
                <c:pt idx="10">
                  <c:v>8104</c:v>
                </c:pt>
                <c:pt idx="11">
                  <c:v>-828</c:v>
                </c:pt>
                <c:pt idx="12">
                  <c:v>606</c:v>
                </c:pt>
                <c:pt idx="13">
                  <c:v>1161</c:v>
                </c:pt>
                <c:pt idx="14">
                  <c:v>15547</c:v>
                </c:pt>
                <c:pt idx="15">
                  <c:v>15710</c:v>
                </c:pt>
                <c:pt idx="16">
                  <c:v>24108</c:v>
                </c:pt>
                <c:pt idx="17">
                  <c:v>46099</c:v>
                </c:pt>
                <c:pt idx="18">
                  <c:v>2397</c:v>
                </c:pt>
                <c:pt idx="19">
                  <c:v>11112</c:v>
                </c:pt>
              </c:numCache>
            </c:numRef>
          </c:val>
          <c:extLst>
            <c:ext xmlns:c16="http://schemas.microsoft.com/office/drawing/2014/chart" uri="{C3380CC4-5D6E-409C-BE32-E72D297353CC}">
              <c16:uniqueId val="{00000013-F335-478E-95DB-617D70C084CF}"/>
            </c:ext>
          </c:extLst>
        </c:ser>
        <c:ser>
          <c:idx val="20"/>
          <c:order val="20"/>
          <c:tx>
            <c:strRef>
              <c:f>Sheet3!$W$3:$W$5</c:f>
              <c:strCache>
                <c:ptCount val="1"/>
                <c:pt idx="0">
                  <c:v>Average of Net_Profit - 2025</c:v>
                </c:pt>
              </c:strCache>
            </c:strRef>
          </c:tx>
          <c:spPr>
            <a:solidFill>
              <a:schemeClr val="accent3">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Sheet3!$W$6:$W$32</c:f>
              <c:numCache>
                <c:formatCode>General</c:formatCode>
                <c:ptCount val="21"/>
                <c:pt idx="0">
                  <c:v>28191</c:v>
                </c:pt>
                <c:pt idx="1">
                  <c:v>73440</c:v>
                </c:pt>
                <c:pt idx="2">
                  <c:v>54569</c:v>
                </c:pt>
                <c:pt idx="3">
                  <c:v>22126</c:v>
                </c:pt>
                <c:pt idx="4">
                  <c:v>80523</c:v>
                </c:pt>
                <c:pt idx="5">
                  <c:v>2178</c:v>
                </c:pt>
                <c:pt idx="6">
                  <c:v>1740</c:v>
                </c:pt>
                <c:pt idx="7">
                  <c:v>10671</c:v>
                </c:pt>
                <c:pt idx="8">
                  <c:v>35052</c:v>
                </c:pt>
                <c:pt idx="9">
                  <c:v>3314</c:v>
                </c:pt>
                <c:pt idx="10">
                  <c:v>11061</c:v>
                </c:pt>
                <c:pt idx="11">
                  <c:v>-817</c:v>
                </c:pt>
                <c:pt idx="12">
                  <c:v>6481</c:v>
                </c:pt>
                <c:pt idx="13">
                  <c:v>1521</c:v>
                </c:pt>
                <c:pt idx="14">
                  <c:v>17673</c:v>
                </c:pt>
                <c:pt idx="15">
                  <c:v>17399</c:v>
                </c:pt>
                <c:pt idx="16">
                  <c:v>26750</c:v>
                </c:pt>
                <c:pt idx="17">
                  <c:v>48797</c:v>
                </c:pt>
                <c:pt idx="18">
                  <c:v>4253</c:v>
                </c:pt>
                <c:pt idx="19">
                  <c:v>13218</c:v>
                </c:pt>
              </c:numCache>
            </c:numRef>
          </c:val>
          <c:extLst>
            <c:ext xmlns:c16="http://schemas.microsoft.com/office/drawing/2014/chart" uri="{C3380CC4-5D6E-409C-BE32-E72D297353CC}">
              <c16:uniqueId val="{00000014-F335-478E-95DB-617D70C084CF}"/>
            </c:ext>
          </c:extLst>
        </c:ser>
        <c:ser>
          <c:idx val="21"/>
          <c:order val="21"/>
          <c:tx>
            <c:strRef>
              <c:f>Sheet3!$X$3:$X$5</c:f>
              <c:strCache>
                <c:ptCount val="1"/>
                <c:pt idx="0">
                  <c:v>Average of Net_Profit - (blank)</c:v>
                </c:pt>
              </c:strCache>
            </c:strRef>
          </c:tx>
          <c:spPr>
            <a:solidFill>
              <a:schemeClr val="accent4">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Sheet3!$X$6:$X$32</c:f>
              <c:numCache>
                <c:formatCode>General</c:formatCode>
                <c:ptCount val="21"/>
              </c:numCache>
            </c:numRef>
          </c:val>
          <c:extLst>
            <c:ext xmlns:c16="http://schemas.microsoft.com/office/drawing/2014/chart" uri="{C3380CC4-5D6E-409C-BE32-E72D297353CC}">
              <c16:uniqueId val="{00000015-F335-478E-95DB-617D70C084CF}"/>
            </c:ext>
          </c:extLst>
        </c:ser>
        <c:ser>
          <c:idx val="22"/>
          <c:order val="22"/>
          <c:tx>
            <c:strRef>
              <c:f>Sheet3!$Y$3:$Y$5</c:f>
              <c:strCache>
                <c:ptCount val="1"/>
                <c:pt idx="0">
                  <c:v>Average of Equity - 2016</c:v>
                </c:pt>
              </c:strCache>
            </c:strRef>
          </c:tx>
          <c:spPr>
            <a:solidFill>
              <a:schemeClr val="accent5">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Sheet3!$Y$6:$Y$32</c:f>
              <c:numCache>
                <c:formatCode>General</c:formatCode>
                <c:ptCount val="21"/>
                <c:pt idx="0">
                  <c:v>53559</c:v>
                </c:pt>
                <c:pt idx="1">
                  <c:v>74304</c:v>
                </c:pt>
                <c:pt idx="2">
                  <c:v>94111</c:v>
                </c:pt>
                <c:pt idx="3">
                  <c:v>33364</c:v>
                </c:pt>
                <c:pt idx="4">
                  <c:v>180592</c:v>
                </c:pt>
                <c:pt idx="5">
                  <c:v>2068</c:v>
                </c:pt>
                <c:pt idx="6">
                  <c:v>3995</c:v>
                </c:pt>
                <c:pt idx="7">
                  <c:v>6357</c:v>
                </c:pt>
                <c:pt idx="8">
                  <c:v>41875</c:v>
                </c:pt>
                <c:pt idx="9">
                  <c:v>3186</c:v>
                </c:pt>
                <c:pt idx="10">
                  <c:v>13091</c:v>
                </c:pt>
                <c:pt idx="11">
                  <c:v>4387</c:v>
                </c:pt>
                <c:pt idx="12">
                  <c:v>4485</c:v>
                </c:pt>
                <c:pt idx="14">
                  <c:v>43994</c:v>
                </c:pt>
                <c:pt idx="15">
                  <c:v>27109</c:v>
                </c:pt>
                <c:pt idx="16">
                  <c:v>50164</c:v>
                </c:pt>
                <c:pt idx="17">
                  <c:v>70875</c:v>
                </c:pt>
                <c:pt idx="18">
                  <c:v>14155</c:v>
                </c:pt>
                <c:pt idx="19">
                  <c:v>45651</c:v>
                </c:pt>
              </c:numCache>
            </c:numRef>
          </c:val>
          <c:extLst>
            <c:ext xmlns:c16="http://schemas.microsoft.com/office/drawing/2014/chart" uri="{C3380CC4-5D6E-409C-BE32-E72D297353CC}">
              <c16:uniqueId val="{00000016-F335-478E-95DB-617D70C084CF}"/>
            </c:ext>
          </c:extLst>
        </c:ser>
        <c:ser>
          <c:idx val="23"/>
          <c:order val="23"/>
          <c:tx>
            <c:strRef>
              <c:f>Sheet3!$Z$3:$Z$5</c:f>
              <c:strCache>
                <c:ptCount val="1"/>
                <c:pt idx="0">
                  <c:v>Average of Equity - 2017</c:v>
                </c:pt>
              </c:strCache>
            </c:strRef>
          </c:tx>
          <c:spPr>
            <a:solidFill>
              <a:schemeClr val="accent6">
                <a:lumMod val="8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Sheet3!$Z$6:$Z$32</c:f>
              <c:numCache>
                <c:formatCode>General</c:formatCode>
                <c:ptCount val="21"/>
                <c:pt idx="0">
                  <c:v>56380</c:v>
                </c:pt>
                <c:pt idx="1">
                  <c:v>91794</c:v>
                </c:pt>
                <c:pt idx="2">
                  <c:v>104632</c:v>
                </c:pt>
                <c:pt idx="3">
                  <c:v>38492</c:v>
                </c:pt>
                <c:pt idx="4">
                  <c:v>217192</c:v>
                </c:pt>
                <c:pt idx="5">
                  <c:v>2672</c:v>
                </c:pt>
                <c:pt idx="6">
                  <c:v>4671</c:v>
                </c:pt>
                <c:pt idx="7">
                  <c:v>6528</c:v>
                </c:pt>
                <c:pt idx="8">
                  <c:v>45198</c:v>
                </c:pt>
                <c:pt idx="9">
                  <c:v>3324</c:v>
                </c:pt>
                <c:pt idx="10">
                  <c:v>17112</c:v>
                </c:pt>
                <c:pt idx="11">
                  <c:v>4739</c:v>
                </c:pt>
                <c:pt idx="12">
                  <c:v>4920</c:v>
                </c:pt>
                <c:pt idx="13">
                  <c:v>1798</c:v>
                </c:pt>
                <c:pt idx="14">
                  <c:v>50030</c:v>
                </c:pt>
                <c:pt idx="15">
                  <c:v>32664</c:v>
                </c:pt>
                <c:pt idx="16">
                  <c:v>60600</c:v>
                </c:pt>
                <c:pt idx="17">
                  <c:v>86017</c:v>
                </c:pt>
                <c:pt idx="18">
                  <c:v>15998</c:v>
                </c:pt>
                <c:pt idx="19">
                  <c:v>51184</c:v>
                </c:pt>
              </c:numCache>
            </c:numRef>
          </c:val>
          <c:extLst>
            <c:ext xmlns:c16="http://schemas.microsoft.com/office/drawing/2014/chart" uri="{C3380CC4-5D6E-409C-BE32-E72D297353CC}">
              <c16:uniqueId val="{00000017-F335-478E-95DB-617D70C084CF}"/>
            </c:ext>
          </c:extLst>
        </c:ser>
        <c:ser>
          <c:idx val="24"/>
          <c:order val="24"/>
          <c:tx>
            <c:strRef>
              <c:f>Sheet3!$AA$3:$AA$5</c:f>
              <c:strCache>
                <c:ptCount val="1"/>
                <c:pt idx="0">
                  <c:v>Average of Equity - 2018</c:v>
                </c:pt>
              </c:strCache>
            </c:strRef>
          </c:tx>
          <c:spPr>
            <a:solidFill>
              <a:schemeClr val="accent1">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Sheet3!$AA$6:$AA$32</c:f>
              <c:numCache>
                <c:formatCode>General</c:formatCode>
                <c:ptCount val="21"/>
                <c:pt idx="0">
                  <c:v>64207</c:v>
                </c:pt>
                <c:pt idx="1">
                  <c:v>109599</c:v>
                </c:pt>
                <c:pt idx="2">
                  <c:v>110630</c:v>
                </c:pt>
                <c:pt idx="3">
                  <c:v>50488</c:v>
                </c:pt>
                <c:pt idx="4">
                  <c:v>230321</c:v>
                </c:pt>
                <c:pt idx="5">
                  <c:v>3382</c:v>
                </c:pt>
                <c:pt idx="6">
                  <c:v>5530</c:v>
                </c:pt>
                <c:pt idx="7">
                  <c:v>7065</c:v>
                </c:pt>
                <c:pt idx="8">
                  <c:v>51290</c:v>
                </c:pt>
                <c:pt idx="9">
                  <c:v>3577</c:v>
                </c:pt>
                <c:pt idx="10">
                  <c:v>20489</c:v>
                </c:pt>
                <c:pt idx="11">
                  <c:v>2842</c:v>
                </c:pt>
                <c:pt idx="12">
                  <c:v>5341</c:v>
                </c:pt>
                <c:pt idx="13">
                  <c:v>2553</c:v>
                </c:pt>
                <c:pt idx="14">
                  <c:v>54623</c:v>
                </c:pt>
                <c:pt idx="15">
                  <c:v>36108</c:v>
                </c:pt>
                <c:pt idx="16">
                  <c:v>67838</c:v>
                </c:pt>
                <c:pt idx="17">
                  <c:v>84937</c:v>
                </c:pt>
                <c:pt idx="18">
                  <c:v>18401</c:v>
                </c:pt>
                <c:pt idx="19">
                  <c:v>47022</c:v>
                </c:pt>
              </c:numCache>
            </c:numRef>
          </c:val>
          <c:extLst>
            <c:ext xmlns:c16="http://schemas.microsoft.com/office/drawing/2014/chart" uri="{C3380CC4-5D6E-409C-BE32-E72D297353CC}">
              <c16:uniqueId val="{00000018-F335-478E-95DB-617D70C084CF}"/>
            </c:ext>
          </c:extLst>
        </c:ser>
        <c:ser>
          <c:idx val="25"/>
          <c:order val="25"/>
          <c:tx>
            <c:strRef>
              <c:f>Sheet3!$AB$3:$AB$5</c:f>
              <c:strCache>
                <c:ptCount val="1"/>
                <c:pt idx="0">
                  <c:v>Average of Equity - 2019</c:v>
                </c:pt>
              </c:strCache>
            </c:strRef>
          </c:tx>
          <c:spPr>
            <a:solidFill>
              <a:schemeClr val="accent2">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Sheet3!$AB$6:$AB$32</c:f>
              <c:numCache>
                <c:formatCode>General</c:formatCode>
                <c:ptCount val="21"/>
                <c:pt idx="0">
                  <c:v>67802</c:v>
                </c:pt>
                <c:pt idx="1">
                  <c:v>153673</c:v>
                </c:pt>
                <c:pt idx="2">
                  <c:v>114253</c:v>
                </c:pt>
                <c:pt idx="3">
                  <c:v>57781</c:v>
                </c:pt>
                <c:pt idx="4">
                  <c:v>234495</c:v>
                </c:pt>
                <c:pt idx="5">
                  <c:v>4229</c:v>
                </c:pt>
                <c:pt idx="6">
                  <c:v>5455</c:v>
                </c:pt>
                <c:pt idx="7">
                  <c:v>7651</c:v>
                </c:pt>
                <c:pt idx="8">
                  <c:v>57915</c:v>
                </c:pt>
                <c:pt idx="9">
                  <c:v>1822</c:v>
                </c:pt>
                <c:pt idx="10">
                  <c:v>23958</c:v>
                </c:pt>
                <c:pt idx="11">
                  <c:v>-1057</c:v>
                </c:pt>
                <c:pt idx="12">
                  <c:v>5964</c:v>
                </c:pt>
                <c:pt idx="13">
                  <c:v>2827</c:v>
                </c:pt>
                <c:pt idx="14">
                  <c:v>62094</c:v>
                </c:pt>
                <c:pt idx="15">
                  <c:v>41095</c:v>
                </c:pt>
                <c:pt idx="16">
                  <c:v>63835</c:v>
                </c:pt>
                <c:pt idx="17">
                  <c:v>89071</c:v>
                </c:pt>
                <c:pt idx="18">
                  <c:v>19841</c:v>
                </c:pt>
                <c:pt idx="19">
                  <c:v>55216</c:v>
                </c:pt>
              </c:numCache>
            </c:numRef>
          </c:val>
          <c:extLst>
            <c:ext xmlns:c16="http://schemas.microsoft.com/office/drawing/2014/chart" uri="{C3380CC4-5D6E-409C-BE32-E72D297353CC}">
              <c16:uniqueId val="{00000019-F335-478E-95DB-617D70C084CF}"/>
            </c:ext>
          </c:extLst>
        </c:ser>
        <c:ser>
          <c:idx val="26"/>
          <c:order val="26"/>
          <c:tx>
            <c:strRef>
              <c:f>Sheet3!$AC$3:$AC$5</c:f>
              <c:strCache>
                <c:ptCount val="1"/>
                <c:pt idx="0">
                  <c:v>Average of Equity - 2020</c:v>
                </c:pt>
              </c:strCache>
            </c:strRef>
          </c:tx>
          <c:spPr>
            <a:solidFill>
              <a:schemeClr val="accent3">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Sheet3!$AC$6:$AC$32</c:f>
              <c:numCache>
                <c:formatCode>General</c:formatCode>
                <c:ptCount val="21"/>
                <c:pt idx="0">
                  <c:v>86340</c:v>
                </c:pt>
                <c:pt idx="1">
                  <c:v>176358</c:v>
                </c:pt>
                <c:pt idx="2">
                  <c:v>122960</c:v>
                </c:pt>
                <c:pt idx="3">
                  <c:v>66637</c:v>
                </c:pt>
                <c:pt idx="4">
                  <c:v>251060</c:v>
                </c:pt>
                <c:pt idx="5">
                  <c:v>4379</c:v>
                </c:pt>
                <c:pt idx="6">
                  <c:v>6429</c:v>
                </c:pt>
                <c:pt idx="7">
                  <c:v>8013</c:v>
                </c:pt>
                <c:pt idx="8">
                  <c:v>64044</c:v>
                </c:pt>
                <c:pt idx="9">
                  <c:v>1923</c:v>
                </c:pt>
                <c:pt idx="10">
                  <c:v>25051</c:v>
                </c:pt>
                <c:pt idx="11">
                  <c:v>-3062</c:v>
                </c:pt>
                <c:pt idx="12">
                  <c:v>6331</c:v>
                </c:pt>
                <c:pt idx="13">
                  <c:v>2488</c:v>
                </c:pt>
                <c:pt idx="14">
                  <c:v>66442</c:v>
                </c:pt>
                <c:pt idx="15">
                  <c:v>50724</c:v>
                </c:pt>
                <c:pt idx="16">
                  <c:v>62778</c:v>
                </c:pt>
                <c:pt idx="17">
                  <c:v>83751</c:v>
                </c:pt>
                <c:pt idx="18">
                  <c:v>21377</c:v>
                </c:pt>
                <c:pt idx="19">
                  <c:v>54179</c:v>
                </c:pt>
              </c:numCache>
            </c:numRef>
          </c:val>
          <c:extLst>
            <c:ext xmlns:c16="http://schemas.microsoft.com/office/drawing/2014/chart" uri="{C3380CC4-5D6E-409C-BE32-E72D297353CC}">
              <c16:uniqueId val="{0000001A-F335-478E-95DB-617D70C084CF}"/>
            </c:ext>
          </c:extLst>
        </c:ser>
        <c:ser>
          <c:idx val="27"/>
          <c:order val="27"/>
          <c:tx>
            <c:strRef>
              <c:f>Sheet3!$AD$3:$AD$5</c:f>
              <c:strCache>
                <c:ptCount val="1"/>
                <c:pt idx="0">
                  <c:v>Average of Equity - 2021</c:v>
                </c:pt>
              </c:strCache>
            </c:strRef>
          </c:tx>
          <c:spPr>
            <a:solidFill>
              <a:schemeClr val="accent4">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Sheet3!$AD$6:$AD$32</c:f>
              <c:numCache>
                <c:formatCode>General</c:formatCode>
                <c:ptCount val="21"/>
                <c:pt idx="0">
                  <c:v>103594</c:v>
                </c:pt>
                <c:pt idx="1">
                  <c:v>209810</c:v>
                </c:pt>
                <c:pt idx="2">
                  <c:v>157587</c:v>
                </c:pt>
                <c:pt idx="3">
                  <c:v>84339</c:v>
                </c:pt>
                <c:pt idx="4">
                  <c:v>275561</c:v>
                </c:pt>
                <c:pt idx="5">
                  <c:v>3524</c:v>
                </c:pt>
                <c:pt idx="6">
                  <c:v>7487</c:v>
                </c:pt>
                <c:pt idx="7">
                  <c:v>47439</c:v>
                </c:pt>
                <c:pt idx="8">
                  <c:v>59116</c:v>
                </c:pt>
                <c:pt idx="9">
                  <c:v>1850</c:v>
                </c:pt>
                <c:pt idx="10">
                  <c:v>30035</c:v>
                </c:pt>
                <c:pt idx="11">
                  <c:v>-2322</c:v>
                </c:pt>
                <c:pt idx="12">
                  <c:v>6549</c:v>
                </c:pt>
                <c:pt idx="13">
                  <c:v>2831</c:v>
                </c:pt>
                <c:pt idx="14">
                  <c:v>75588</c:v>
                </c:pt>
                <c:pt idx="15">
                  <c:v>59370</c:v>
                </c:pt>
                <c:pt idx="16">
                  <c:v>63328</c:v>
                </c:pt>
                <c:pt idx="17">
                  <c:v>86063</c:v>
                </c:pt>
                <c:pt idx="18">
                  <c:v>24428</c:v>
                </c:pt>
                <c:pt idx="19">
                  <c:v>53805</c:v>
                </c:pt>
              </c:numCache>
            </c:numRef>
          </c:val>
          <c:extLst>
            <c:ext xmlns:c16="http://schemas.microsoft.com/office/drawing/2014/chart" uri="{C3380CC4-5D6E-409C-BE32-E72D297353CC}">
              <c16:uniqueId val="{0000001B-F335-478E-95DB-617D70C084CF}"/>
            </c:ext>
          </c:extLst>
        </c:ser>
        <c:ser>
          <c:idx val="28"/>
          <c:order val="28"/>
          <c:tx>
            <c:strRef>
              <c:f>Sheet3!$AE$3:$AE$5</c:f>
              <c:strCache>
                <c:ptCount val="1"/>
                <c:pt idx="0">
                  <c:v>Average of Equity - 2022</c:v>
                </c:pt>
              </c:strCache>
            </c:strRef>
          </c:tx>
          <c:spPr>
            <a:solidFill>
              <a:schemeClr val="accent5">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Sheet3!$AE$6:$AE$32</c:f>
              <c:numCache>
                <c:formatCode>General</c:formatCode>
                <c:ptCount val="21"/>
                <c:pt idx="0">
                  <c:v>118261</c:v>
                </c:pt>
                <c:pt idx="1">
                  <c:v>247327</c:v>
                </c:pt>
                <c:pt idx="2">
                  <c:v>182053</c:v>
                </c:pt>
                <c:pt idx="3">
                  <c:v>96665</c:v>
                </c:pt>
                <c:pt idx="4">
                  <c:v>305588</c:v>
                </c:pt>
                <c:pt idx="5">
                  <c:v>2534</c:v>
                </c:pt>
                <c:pt idx="6">
                  <c:v>8205</c:v>
                </c:pt>
                <c:pt idx="7">
                  <c:v>48826</c:v>
                </c:pt>
                <c:pt idx="8">
                  <c:v>61223</c:v>
                </c:pt>
                <c:pt idx="9">
                  <c:v>2363</c:v>
                </c:pt>
                <c:pt idx="10">
                  <c:v>41399</c:v>
                </c:pt>
                <c:pt idx="11">
                  <c:v>-1421</c:v>
                </c:pt>
                <c:pt idx="12">
                  <c:v>11962</c:v>
                </c:pt>
                <c:pt idx="13">
                  <c:v>3212</c:v>
                </c:pt>
                <c:pt idx="14">
                  <c:v>82127</c:v>
                </c:pt>
                <c:pt idx="15">
                  <c:v>61371</c:v>
                </c:pt>
                <c:pt idx="16">
                  <c:v>74227</c:v>
                </c:pt>
                <c:pt idx="17">
                  <c:v>88773</c:v>
                </c:pt>
                <c:pt idx="18">
                  <c:v>26447</c:v>
                </c:pt>
                <c:pt idx="19">
                  <c:v>64307</c:v>
                </c:pt>
              </c:numCache>
            </c:numRef>
          </c:val>
          <c:extLst>
            <c:ext xmlns:c16="http://schemas.microsoft.com/office/drawing/2014/chart" uri="{C3380CC4-5D6E-409C-BE32-E72D297353CC}">
              <c16:uniqueId val="{0000001C-F335-478E-95DB-617D70C084CF}"/>
            </c:ext>
          </c:extLst>
        </c:ser>
        <c:ser>
          <c:idx val="29"/>
          <c:order val="29"/>
          <c:tx>
            <c:strRef>
              <c:f>Sheet3!$AF$3:$AF$5</c:f>
              <c:strCache>
                <c:ptCount val="1"/>
                <c:pt idx="0">
                  <c:v>Average of Equity - 2023</c:v>
                </c:pt>
              </c:strCache>
            </c:strRef>
          </c:tx>
          <c:spPr>
            <a:solidFill>
              <a:schemeClr val="accent6">
                <a:lumMod val="60000"/>
                <a:lumOff val="4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Sheet3!$AF$6:$AF$32</c:f>
              <c:numCache>
                <c:formatCode>General</c:formatCode>
                <c:ptCount val="21"/>
                <c:pt idx="0">
                  <c:v>129781</c:v>
                </c:pt>
                <c:pt idx="1">
                  <c:v>289438</c:v>
                </c:pt>
                <c:pt idx="2">
                  <c:v>214498</c:v>
                </c:pt>
                <c:pt idx="3">
                  <c:v>111814</c:v>
                </c:pt>
                <c:pt idx="4">
                  <c:v>358931</c:v>
                </c:pt>
                <c:pt idx="5">
                  <c:v>3510</c:v>
                </c:pt>
                <c:pt idx="6">
                  <c:v>8796</c:v>
                </c:pt>
                <c:pt idx="7">
                  <c:v>50069</c:v>
                </c:pt>
                <c:pt idx="8">
                  <c:v>67912</c:v>
                </c:pt>
                <c:pt idx="9">
                  <c:v>2363</c:v>
                </c:pt>
                <c:pt idx="10">
                  <c:v>44957</c:v>
                </c:pt>
                <c:pt idx="11">
                  <c:v>-1396</c:v>
                </c:pt>
                <c:pt idx="12">
                  <c:v>12775</c:v>
                </c:pt>
                <c:pt idx="13">
                  <c:v>3635</c:v>
                </c:pt>
                <c:pt idx="14">
                  <c:v>89045</c:v>
                </c:pt>
                <c:pt idx="15">
                  <c:v>64862</c:v>
                </c:pt>
                <c:pt idx="16">
                  <c:v>73252</c:v>
                </c:pt>
                <c:pt idx="17">
                  <c:v>90058</c:v>
                </c:pt>
                <c:pt idx="18">
                  <c:v>27844</c:v>
                </c:pt>
                <c:pt idx="19">
                  <c:v>76570</c:v>
                </c:pt>
              </c:numCache>
            </c:numRef>
          </c:val>
          <c:extLst>
            <c:ext xmlns:c16="http://schemas.microsoft.com/office/drawing/2014/chart" uri="{C3380CC4-5D6E-409C-BE32-E72D297353CC}">
              <c16:uniqueId val="{0000001D-F335-478E-95DB-617D70C084CF}"/>
            </c:ext>
          </c:extLst>
        </c:ser>
        <c:ser>
          <c:idx val="30"/>
          <c:order val="30"/>
          <c:tx>
            <c:strRef>
              <c:f>Sheet3!$AG$3:$AG$5</c:f>
              <c:strCache>
                <c:ptCount val="1"/>
                <c:pt idx="0">
                  <c:v>Average of Equity - 2024</c:v>
                </c:pt>
              </c:strCache>
            </c:strRef>
          </c:tx>
          <c:spPr>
            <a:solidFill>
              <a:schemeClr val="accent1">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Sheet3!$AG$6:$AG$32</c:f>
              <c:numCache>
                <c:formatCode>General</c:formatCode>
                <c:ptCount val="21"/>
                <c:pt idx="0">
                  <c:v>157023</c:v>
                </c:pt>
                <c:pt idx="1">
                  <c:v>456396</c:v>
                </c:pt>
                <c:pt idx="2">
                  <c:v>256144</c:v>
                </c:pt>
                <c:pt idx="3">
                  <c:v>129972</c:v>
                </c:pt>
                <c:pt idx="4">
                  <c:v>414939</c:v>
                </c:pt>
                <c:pt idx="5">
                  <c:v>3917</c:v>
                </c:pt>
                <c:pt idx="6">
                  <c:v>9689</c:v>
                </c:pt>
                <c:pt idx="7">
                  <c:v>50983</c:v>
                </c:pt>
                <c:pt idx="8">
                  <c:v>73259</c:v>
                </c:pt>
                <c:pt idx="9">
                  <c:v>3244</c:v>
                </c:pt>
                <c:pt idx="10">
                  <c:v>52346</c:v>
                </c:pt>
                <c:pt idx="11">
                  <c:v>-2768</c:v>
                </c:pt>
                <c:pt idx="12">
                  <c:v>13141</c:v>
                </c:pt>
                <c:pt idx="13">
                  <c:v>7616</c:v>
                </c:pt>
                <c:pt idx="14">
                  <c:v>86084</c:v>
                </c:pt>
                <c:pt idx="15">
                  <c:v>67720</c:v>
                </c:pt>
                <c:pt idx="16">
                  <c:v>73338</c:v>
                </c:pt>
                <c:pt idx="17">
                  <c:v>90127</c:v>
                </c:pt>
                <c:pt idx="18">
                  <c:v>26228</c:v>
                </c:pt>
                <c:pt idx="19">
                  <c:v>73943</c:v>
                </c:pt>
              </c:numCache>
            </c:numRef>
          </c:val>
          <c:extLst>
            <c:ext xmlns:c16="http://schemas.microsoft.com/office/drawing/2014/chart" uri="{C3380CC4-5D6E-409C-BE32-E72D297353CC}">
              <c16:uniqueId val="{0000001E-F335-478E-95DB-617D70C084CF}"/>
            </c:ext>
          </c:extLst>
        </c:ser>
        <c:ser>
          <c:idx val="31"/>
          <c:order val="31"/>
          <c:tx>
            <c:strRef>
              <c:f>Sheet3!$AH$3:$AH$5</c:f>
              <c:strCache>
                <c:ptCount val="1"/>
                <c:pt idx="0">
                  <c:v>Average of Equity - 2025</c:v>
                </c:pt>
              </c:strCache>
            </c:strRef>
          </c:tx>
          <c:spPr>
            <a:solidFill>
              <a:schemeClr val="accent2">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Sheet3!$AH$6:$AH$32</c:f>
              <c:numCache>
                <c:formatCode>General</c:formatCode>
                <c:ptCount val="21"/>
                <c:pt idx="0">
                  <c:v>187235</c:v>
                </c:pt>
                <c:pt idx="1">
                  <c:v>521789</c:v>
                </c:pt>
                <c:pt idx="2">
                  <c:v>313906</c:v>
                </c:pt>
                <c:pt idx="3">
                  <c:v>157489</c:v>
                </c:pt>
                <c:pt idx="4">
                  <c:v>487036</c:v>
                </c:pt>
                <c:pt idx="5">
                  <c:v>4332</c:v>
                </c:pt>
                <c:pt idx="6">
                  <c:v>10623</c:v>
                </c:pt>
                <c:pt idx="7">
                  <c:v>49167</c:v>
                </c:pt>
                <c:pt idx="8">
                  <c:v>68779</c:v>
                </c:pt>
                <c:pt idx="9">
                  <c:v>4021</c:v>
                </c:pt>
                <c:pt idx="10">
                  <c:v>61837</c:v>
                </c:pt>
                <c:pt idx="11">
                  <c:v>-3559</c:v>
                </c:pt>
                <c:pt idx="12">
                  <c:v>19223</c:v>
                </c:pt>
                <c:pt idx="13">
                  <c:v>9282</c:v>
                </c:pt>
                <c:pt idx="14">
                  <c:v>97381</c:v>
                </c:pt>
                <c:pt idx="15">
                  <c:v>69112</c:v>
                </c:pt>
                <c:pt idx="16">
                  <c:v>93745</c:v>
                </c:pt>
                <c:pt idx="17">
                  <c:v>94394</c:v>
                </c:pt>
                <c:pt idx="18">
                  <c:v>26919</c:v>
                </c:pt>
                <c:pt idx="19">
                  <c:v>80736</c:v>
                </c:pt>
              </c:numCache>
            </c:numRef>
          </c:val>
          <c:extLst>
            <c:ext xmlns:c16="http://schemas.microsoft.com/office/drawing/2014/chart" uri="{C3380CC4-5D6E-409C-BE32-E72D297353CC}">
              <c16:uniqueId val="{0000001F-F335-478E-95DB-617D70C084CF}"/>
            </c:ext>
          </c:extLst>
        </c:ser>
        <c:ser>
          <c:idx val="32"/>
          <c:order val="32"/>
          <c:tx>
            <c:strRef>
              <c:f>Sheet3!$AI$3:$AI$5</c:f>
              <c:strCache>
                <c:ptCount val="1"/>
                <c:pt idx="0">
                  <c:v>Average of Equity - (blank)</c:v>
                </c:pt>
              </c:strCache>
            </c:strRef>
          </c:tx>
          <c:spPr>
            <a:solidFill>
              <a:schemeClr val="accent3">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Sheet3!$AI$6:$AI$32</c:f>
              <c:numCache>
                <c:formatCode>General</c:formatCode>
                <c:ptCount val="21"/>
              </c:numCache>
            </c:numRef>
          </c:val>
          <c:extLst>
            <c:ext xmlns:c16="http://schemas.microsoft.com/office/drawing/2014/chart" uri="{C3380CC4-5D6E-409C-BE32-E72D297353CC}">
              <c16:uniqueId val="{00000020-F335-478E-95DB-617D70C084CF}"/>
            </c:ext>
          </c:extLst>
        </c:ser>
        <c:ser>
          <c:idx val="33"/>
          <c:order val="33"/>
          <c:tx>
            <c:strRef>
              <c:f>Sheet3!$AJ$3:$AJ$5</c:f>
              <c:strCache>
                <c:ptCount val="1"/>
                <c:pt idx="0">
                  <c:v>Average of Debt - 2016</c:v>
                </c:pt>
              </c:strCache>
            </c:strRef>
          </c:tx>
          <c:spPr>
            <a:solidFill>
              <a:schemeClr val="accent4">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Sheet3!$AJ$6:$AJ$32</c:f>
              <c:numCache>
                <c:formatCode>General</c:formatCode>
                <c:ptCount val="21"/>
                <c:pt idx="0">
                  <c:v>113848</c:v>
                </c:pt>
                <c:pt idx="1">
                  <c:v>103714</c:v>
                </c:pt>
                <c:pt idx="2">
                  <c:v>189054</c:v>
                </c:pt>
                <c:pt idx="3">
                  <c:v>43730</c:v>
                </c:pt>
                <c:pt idx="4">
                  <c:v>361399</c:v>
                </c:pt>
                <c:pt idx="5">
                  <c:v>131</c:v>
                </c:pt>
                <c:pt idx="6">
                  <c:v>805</c:v>
                </c:pt>
                <c:pt idx="7">
                  <c:v>177</c:v>
                </c:pt>
                <c:pt idx="8">
                  <c:v>84</c:v>
                </c:pt>
                <c:pt idx="9">
                  <c:v>33</c:v>
                </c:pt>
                <c:pt idx="10">
                  <c:v>22342</c:v>
                </c:pt>
                <c:pt idx="11">
                  <c:v>39444</c:v>
                </c:pt>
                <c:pt idx="12">
                  <c:v>15626</c:v>
                </c:pt>
                <c:pt idx="14">
                  <c:v>88135</c:v>
                </c:pt>
                <c:pt idx="15">
                  <c:v>1090</c:v>
                </c:pt>
                <c:pt idx="16">
                  <c:v>0</c:v>
                </c:pt>
                <c:pt idx="17">
                  <c:v>245</c:v>
                </c:pt>
                <c:pt idx="18">
                  <c:v>1091</c:v>
                </c:pt>
                <c:pt idx="19">
                  <c:v>558</c:v>
                </c:pt>
              </c:numCache>
            </c:numRef>
          </c:val>
          <c:extLst>
            <c:ext xmlns:c16="http://schemas.microsoft.com/office/drawing/2014/chart" uri="{C3380CC4-5D6E-409C-BE32-E72D297353CC}">
              <c16:uniqueId val="{00000021-F335-478E-95DB-617D70C084CF}"/>
            </c:ext>
          </c:extLst>
        </c:ser>
        <c:ser>
          <c:idx val="34"/>
          <c:order val="34"/>
          <c:tx>
            <c:strRef>
              <c:f>Sheet3!$AK$3:$AK$5</c:f>
              <c:strCache>
                <c:ptCount val="1"/>
                <c:pt idx="0">
                  <c:v>Average of Debt - 2017</c:v>
                </c:pt>
              </c:strCache>
            </c:strRef>
          </c:tx>
          <c:spPr>
            <a:solidFill>
              <a:schemeClr val="accent5">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Sheet3!$AK$6:$AK$32</c:f>
              <c:numCache>
                <c:formatCode>General</c:formatCode>
                <c:ptCount val="21"/>
                <c:pt idx="0">
                  <c:v>112455</c:v>
                </c:pt>
                <c:pt idx="1">
                  <c:v>98416</c:v>
                </c:pt>
                <c:pt idx="2">
                  <c:v>170670</c:v>
                </c:pt>
                <c:pt idx="3">
                  <c:v>49690</c:v>
                </c:pt>
                <c:pt idx="4">
                  <c:v>336366</c:v>
                </c:pt>
                <c:pt idx="5">
                  <c:v>125</c:v>
                </c:pt>
                <c:pt idx="6">
                  <c:v>975</c:v>
                </c:pt>
                <c:pt idx="7">
                  <c:v>277</c:v>
                </c:pt>
                <c:pt idx="8">
                  <c:v>46</c:v>
                </c:pt>
                <c:pt idx="9">
                  <c:v>35</c:v>
                </c:pt>
                <c:pt idx="10">
                  <c:v>22214</c:v>
                </c:pt>
                <c:pt idx="11">
                  <c:v>21484</c:v>
                </c:pt>
                <c:pt idx="12">
                  <c:v>13963</c:v>
                </c:pt>
                <c:pt idx="13">
                  <c:v>1599</c:v>
                </c:pt>
                <c:pt idx="14">
                  <c:v>93954</c:v>
                </c:pt>
                <c:pt idx="15">
                  <c:v>582</c:v>
                </c:pt>
                <c:pt idx="16">
                  <c:v>0</c:v>
                </c:pt>
                <c:pt idx="17">
                  <c:v>289</c:v>
                </c:pt>
                <c:pt idx="18">
                  <c:v>1366</c:v>
                </c:pt>
                <c:pt idx="19">
                  <c:v>594</c:v>
                </c:pt>
              </c:numCache>
            </c:numRef>
          </c:val>
          <c:extLst>
            <c:ext xmlns:c16="http://schemas.microsoft.com/office/drawing/2014/chart" uri="{C3380CC4-5D6E-409C-BE32-E72D297353CC}">
              <c16:uniqueId val="{00000022-F335-478E-95DB-617D70C084CF}"/>
            </c:ext>
          </c:extLst>
        </c:ser>
        <c:ser>
          <c:idx val="35"/>
          <c:order val="35"/>
          <c:tx>
            <c:strRef>
              <c:f>Sheet3!$AL$3:$AL$5</c:f>
              <c:strCache>
                <c:ptCount val="1"/>
                <c:pt idx="0">
                  <c:v>Average of Debt - 2018</c:v>
                </c:pt>
              </c:strCache>
            </c:strRef>
          </c:tx>
          <c:spPr>
            <a:solidFill>
              <a:schemeClr val="accent6">
                <a:lumMod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Sheet3!$AL$6:$AL$32</c:f>
              <c:numCache>
                <c:formatCode>General</c:formatCode>
                <c:ptCount val="21"/>
                <c:pt idx="0">
                  <c:v>155767</c:v>
                </c:pt>
                <c:pt idx="1">
                  <c:v>156442</c:v>
                </c:pt>
                <c:pt idx="2">
                  <c:v>229402</c:v>
                </c:pt>
                <c:pt idx="3">
                  <c:v>58604</c:v>
                </c:pt>
                <c:pt idx="4">
                  <c:v>369079</c:v>
                </c:pt>
                <c:pt idx="5">
                  <c:v>201</c:v>
                </c:pt>
                <c:pt idx="6">
                  <c:v>938</c:v>
                </c:pt>
                <c:pt idx="7">
                  <c:v>0</c:v>
                </c:pt>
                <c:pt idx="8">
                  <c:v>36</c:v>
                </c:pt>
                <c:pt idx="9">
                  <c:v>35</c:v>
                </c:pt>
                <c:pt idx="10">
                  <c:v>22370</c:v>
                </c:pt>
                <c:pt idx="11">
                  <c:v>23411</c:v>
                </c:pt>
                <c:pt idx="12">
                  <c:v>13832</c:v>
                </c:pt>
                <c:pt idx="13">
                  <c:v>1732</c:v>
                </c:pt>
                <c:pt idx="14">
                  <c:v>107524</c:v>
                </c:pt>
                <c:pt idx="15">
                  <c:v>557</c:v>
                </c:pt>
                <c:pt idx="16">
                  <c:v>0</c:v>
                </c:pt>
                <c:pt idx="17">
                  <c:v>247</c:v>
                </c:pt>
                <c:pt idx="18">
                  <c:v>2397</c:v>
                </c:pt>
                <c:pt idx="19">
                  <c:v>583</c:v>
                </c:pt>
              </c:numCache>
            </c:numRef>
          </c:val>
          <c:extLst>
            <c:ext xmlns:c16="http://schemas.microsoft.com/office/drawing/2014/chart" uri="{C3380CC4-5D6E-409C-BE32-E72D297353CC}">
              <c16:uniqueId val="{00000023-F335-478E-95DB-617D70C084CF}"/>
            </c:ext>
          </c:extLst>
        </c:ser>
        <c:ser>
          <c:idx val="36"/>
          <c:order val="36"/>
          <c:tx>
            <c:strRef>
              <c:f>Sheet3!$AM$3:$AM$5</c:f>
              <c:strCache>
                <c:ptCount val="1"/>
                <c:pt idx="0">
                  <c:v>Average of Debt - 2019</c:v>
                </c:pt>
              </c:strCache>
            </c:strRef>
          </c:tx>
          <c:spPr>
            <a:solidFill>
              <a:schemeClr val="accent1">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Sheet3!$AM$6:$AM$32</c:f>
              <c:numCache>
                <c:formatCode>General</c:formatCode>
                <c:ptCount val="21"/>
                <c:pt idx="0">
                  <c:v>161250</c:v>
                </c:pt>
                <c:pt idx="1">
                  <c:v>157733</c:v>
                </c:pt>
                <c:pt idx="2">
                  <c:v>210324</c:v>
                </c:pt>
                <c:pt idx="3">
                  <c:v>66939</c:v>
                </c:pt>
                <c:pt idx="4">
                  <c:v>413748</c:v>
                </c:pt>
                <c:pt idx="5">
                  <c:v>156</c:v>
                </c:pt>
                <c:pt idx="6">
                  <c:v>699</c:v>
                </c:pt>
                <c:pt idx="7">
                  <c:v>99</c:v>
                </c:pt>
                <c:pt idx="8">
                  <c:v>13</c:v>
                </c:pt>
                <c:pt idx="9">
                  <c:v>189</c:v>
                </c:pt>
                <c:pt idx="10">
                  <c:v>27712</c:v>
                </c:pt>
                <c:pt idx="11">
                  <c:v>27580</c:v>
                </c:pt>
                <c:pt idx="12">
                  <c:v>16599</c:v>
                </c:pt>
                <c:pt idx="13">
                  <c:v>2051</c:v>
                </c:pt>
                <c:pt idx="14">
                  <c:v>125555</c:v>
                </c:pt>
                <c:pt idx="15">
                  <c:v>4195</c:v>
                </c:pt>
                <c:pt idx="16">
                  <c:v>0</c:v>
                </c:pt>
                <c:pt idx="17">
                  <c:v>62</c:v>
                </c:pt>
                <c:pt idx="18">
                  <c:v>1996</c:v>
                </c:pt>
                <c:pt idx="19">
                  <c:v>738</c:v>
                </c:pt>
              </c:numCache>
            </c:numRef>
          </c:val>
          <c:extLst>
            <c:ext xmlns:c16="http://schemas.microsoft.com/office/drawing/2014/chart" uri="{C3380CC4-5D6E-409C-BE32-E72D297353CC}">
              <c16:uniqueId val="{00000024-F335-478E-95DB-617D70C084CF}"/>
            </c:ext>
          </c:extLst>
        </c:ser>
        <c:ser>
          <c:idx val="37"/>
          <c:order val="37"/>
          <c:tx>
            <c:strRef>
              <c:f>Sheet3!$AN$3:$AN$5</c:f>
              <c:strCache>
                <c:ptCount val="1"/>
                <c:pt idx="0">
                  <c:v>Average of Debt - 2020</c:v>
                </c:pt>
              </c:strCache>
            </c:strRef>
          </c:tx>
          <c:spPr>
            <a:solidFill>
              <a:schemeClr val="accent2">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Sheet3!$AN$6:$AN$32</c:f>
              <c:numCache>
                <c:formatCode>General</c:formatCode>
                <c:ptCount val="21"/>
                <c:pt idx="0">
                  <c:v>155180</c:v>
                </c:pt>
                <c:pt idx="1">
                  <c:v>186834</c:v>
                </c:pt>
                <c:pt idx="2">
                  <c:v>213852</c:v>
                </c:pt>
                <c:pt idx="3">
                  <c:v>66077</c:v>
                </c:pt>
                <c:pt idx="4">
                  <c:v>332901</c:v>
                </c:pt>
                <c:pt idx="5">
                  <c:v>1538</c:v>
                </c:pt>
                <c:pt idx="6">
                  <c:v>522</c:v>
                </c:pt>
                <c:pt idx="7">
                  <c:v>0</c:v>
                </c:pt>
                <c:pt idx="8">
                  <c:v>277</c:v>
                </c:pt>
                <c:pt idx="9">
                  <c:v>147</c:v>
                </c:pt>
                <c:pt idx="10">
                  <c:v>30242</c:v>
                </c:pt>
                <c:pt idx="11">
                  <c:v>34442</c:v>
                </c:pt>
                <c:pt idx="12">
                  <c:v>9205</c:v>
                </c:pt>
                <c:pt idx="13">
                  <c:v>3103</c:v>
                </c:pt>
                <c:pt idx="14">
                  <c:v>143174</c:v>
                </c:pt>
                <c:pt idx="15">
                  <c:v>7986</c:v>
                </c:pt>
                <c:pt idx="16">
                  <c:v>0</c:v>
                </c:pt>
                <c:pt idx="17">
                  <c:v>8174</c:v>
                </c:pt>
                <c:pt idx="18">
                  <c:v>3670</c:v>
                </c:pt>
                <c:pt idx="19">
                  <c:v>733</c:v>
                </c:pt>
              </c:numCache>
            </c:numRef>
          </c:val>
          <c:extLst>
            <c:ext xmlns:c16="http://schemas.microsoft.com/office/drawing/2014/chart" uri="{C3380CC4-5D6E-409C-BE32-E72D297353CC}">
              <c16:uniqueId val="{00000025-F335-478E-95DB-617D70C084CF}"/>
            </c:ext>
          </c:extLst>
        </c:ser>
        <c:ser>
          <c:idx val="38"/>
          <c:order val="38"/>
          <c:tx>
            <c:strRef>
              <c:f>Sheet3!$AO$3:$AO$5</c:f>
              <c:strCache>
                <c:ptCount val="1"/>
                <c:pt idx="0">
                  <c:v>Average of Debt - 2021</c:v>
                </c:pt>
              </c:strCache>
            </c:strRef>
          </c:tx>
          <c:spPr>
            <a:solidFill>
              <a:schemeClr val="accent3">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Sheet3!$AO$6:$AO$32</c:f>
              <c:numCache>
                <c:formatCode>General</c:formatCode>
                <c:ptCount val="21"/>
                <c:pt idx="0">
                  <c:v>152249</c:v>
                </c:pt>
                <c:pt idx="1">
                  <c:v>177697</c:v>
                </c:pt>
                <c:pt idx="2">
                  <c:v>143900</c:v>
                </c:pt>
                <c:pt idx="3">
                  <c:v>48239</c:v>
                </c:pt>
                <c:pt idx="4">
                  <c:v>433796</c:v>
                </c:pt>
                <c:pt idx="5">
                  <c:v>2122</c:v>
                </c:pt>
                <c:pt idx="6">
                  <c:v>509</c:v>
                </c:pt>
                <c:pt idx="7">
                  <c:v>0</c:v>
                </c:pt>
                <c:pt idx="8">
                  <c:v>271</c:v>
                </c:pt>
                <c:pt idx="9">
                  <c:v>266</c:v>
                </c:pt>
                <c:pt idx="10">
                  <c:v>35855</c:v>
                </c:pt>
                <c:pt idx="11">
                  <c:v>36864</c:v>
                </c:pt>
                <c:pt idx="12">
                  <c:v>19219</c:v>
                </c:pt>
                <c:pt idx="13">
                  <c:v>3946</c:v>
                </c:pt>
                <c:pt idx="14">
                  <c:v>134629</c:v>
                </c:pt>
                <c:pt idx="15">
                  <c:v>6864</c:v>
                </c:pt>
                <c:pt idx="16">
                  <c:v>4633</c:v>
                </c:pt>
                <c:pt idx="17">
                  <c:v>7795</c:v>
                </c:pt>
                <c:pt idx="18">
                  <c:v>2901</c:v>
                </c:pt>
                <c:pt idx="19">
                  <c:v>509</c:v>
                </c:pt>
              </c:numCache>
            </c:numRef>
          </c:val>
          <c:extLst>
            <c:ext xmlns:c16="http://schemas.microsoft.com/office/drawing/2014/chart" uri="{C3380CC4-5D6E-409C-BE32-E72D297353CC}">
              <c16:uniqueId val="{00000026-F335-478E-95DB-617D70C084CF}"/>
            </c:ext>
          </c:extLst>
        </c:ser>
        <c:ser>
          <c:idx val="39"/>
          <c:order val="39"/>
          <c:tx>
            <c:strRef>
              <c:f>Sheet3!$AP$3:$AP$5</c:f>
              <c:strCache>
                <c:ptCount val="1"/>
                <c:pt idx="0">
                  <c:v>Average of Debt - 2022</c:v>
                </c:pt>
              </c:strCache>
            </c:strRef>
          </c:tx>
          <c:spPr>
            <a:solidFill>
              <a:schemeClr val="accent4">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Sheet3!$AP$6:$AP$32</c:f>
              <c:numCache>
                <c:formatCode>General</c:formatCode>
                <c:ptCount val="21"/>
                <c:pt idx="0">
                  <c:v>199778</c:v>
                </c:pt>
                <c:pt idx="1">
                  <c:v>226966</c:v>
                </c:pt>
                <c:pt idx="2">
                  <c:v>161603</c:v>
                </c:pt>
                <c:pt idx="3">
                  <c:v>55660</c:v>
                </c:pt>
                <c:pt idx="4">
                  <c:v>449160</c:v>
                </c:pt>
                <c:pt idx="5">
                  <c:v>2481</c:v>
                </c:pt>
                <c:pt idx="6">
                  <c:v>1030</c:v>
                </c:pt>
                <c:pt idx="7">
                  <c:v>1043</c:v>
                </c:pt>
                <c:pt idx="8">
                  <c:v>249</c:v>
                </c:pt>
                <c:pt idx="9">
                  <c:v>271</c:v>
                </c:pt>
                <c:pt idx="10">
                  <c:v>47935</c:v>
                </c:pt>
                <c:pt idx="11">
                  <c:v>26633</c:v>
                </c:pt>
                <c:pt idx="12">
                  <c:v>16697</c:v>
                </c:pt>
                <c:pt idx="13">
                  <c:v>4740</c:v>
                </c:pt>
                <c:pt idx="14">
                  <c:v>125508</c:v>
                </c:pt>
                <c:pt idx="15">
                  <c:v>6343</c:v>
                </c:pt>
                <c:pt idx="16">
                  <c:v>5325</c:v>
                </c:pt>
                <c:pt idx="17">
                  <c:v>7818</c:v>
                </c:pt>
                <c:pt idx="18">
                  <c:v>2618</c:v>
                </c:pt>
                <c:pt idx="19">
                  <c:v>532</c:v>
                </c:pt>
              </c:numCache>
            </c:numRef>
          </c:val>
          <c:extLst>
            <c:ext xmlns:c16="http://schemas.microsoft.com/office/drawing/2014/chart" uri="{C3380CC4-5D6E-409C-BE32-E72D297353CC}">
              <c16:uniqueId val="{00000027-F335-478E-95DB-617D70C084CF}"/>
            </c:ext>
          </c:extLst>
        </c:ser>
        <c:ser>
          <c:idx val="40"/>
          <c:order val="40"/>
          <c:tx>
            <c:strRef>
              <c:f>Sheet3!$AQ$3:$AQ$5</c:f>
              <c:strCache>
                <c:ptCount val="1"/>
                <c:pt idx="0">
                  <c:v>Average of Debt - 2023</c:v>
                </c:pt>
              </c:strCache>
            </c:strRef>
          </c:tx>
          <c:spPr>
            <a:solidFill>
              <a:schemeClr val="accent5">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Sheet3!$AQ$6:$AQ$32</c:f>
              <c:numCache>
                <c:formatCode>General</c:formatCode>
                <c:ptCount val="21"/>
                <c:pt idx="0">
                  <c:v>206214</c:v>
                </c:pt>
                <c:pt idx="1">
                  <c:v>256549</c:v>
                </c:pt>
                <c:pt idx="2">
                  <c:v>189062</c:v>
                </c:pt>
                <c:pt idx="3">
                  <c:v>57534</c:v>
                </c:pt>
                <c:pt idx="4">
                  <c:v>521152</c:v>
                </c:pt>
                <c:pt idx="5">
                  <c:v>2997</c:v>
                </c:pt>
                <c:pt idx="6">
                  <c:v>1174</c:v>
                </c:pt>
                <c:pt idx="7">
                  <c:v>1219</c:v>
                </c:pt>
                <c:pt idx="8">
                  <c:v>306</c:v>
                </c:pt>
                <c:pt idx="9">
                  <c:v>271</c:v>
                </c:pt>
                <c:pt idx="10">
                  <c:v>53434</c:v>
                </c:pt>
                <c:pt idx="11">
                  <c:v>32157</c:v>
                </c:pt>
                <c:pt idx="12">
                  <c:v>16748</c:v>
                </c:pt>
                <c:pt idx="13">
                  <c:v>4568</c:v>
                </c:pt>
                <c:pt idx="14">
                  <c:v>120650</c:v>
                </c:pt>
                <c:pt idx="15">
                  <c:v>4794</c:v>
                </c:pt>
                <c:pt idx="16">
                  <c:v>5474</c:v>
                </c:pt>
                <c:pt idx="17">
                  <c:v>7688</c:v>
                </c:pt>
                <c:pt idx="18">
                  <c:v>2740</c:v>
                </c:pt>
                <c:pt idx="19">
                  <c:v>1008</c:v>
                </c:pt>
              </c:numCache>
            </c:numRef>
          </c:val>
          <c:extLst>
            <c:ext xmlns:c16="http://schemas.microsoft.com/office/drawing/2014/chart" uri="{C3380CC4-5D6E-409C-BE32-E72D297353CC}">
              <c16:uniqueId val="{00000028-F335-478E-95DB-617D70C084CF}"/>
            </c:ext>
          </c:extLst>
        </c:ser>
        <c:ser>
          <c:idx val="41"/>
          <c:order val="41"/>
          <c:tx>
            <c:strRef>
              <c:f>Sheet3!$AR$3:$AR$5</c:f>
              <c:strCache>
                <c:ptCount val="1"/>
                <c:pt idx="0">
                  <c:v>Average of Debt - 2024</c:v>
                </c:pt>
              </c:strCache>
            </c:strRef>
          </c:tx>
          <c:spPr>
            <a:solidFill>
              <a:schemeClr val="accent6">
                <a:lumMod val="70000"/>
                <a:lumOff val="3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Sheet3!$AR$6:$AR$32</c:f>
              <c:numCache>
                <c:formatCode>General</c:formatCode>
                <c:ptCount val="21"/>
                <c:pt idx="0">
                  <c:v>228200</c:v>
                </c:pt>
                <c:pt idx="1">
                  <c:v>730615</c:v>
                </c:pt>
                <c:pt idx="2">
                  <c:v>207428</c:v>
                </c:pt>
                <c:pt idx="3">
                  <c:v>75106</c:v>
                </c:pt>
                <c:pt idx="4">
                  <c:v>639610</c:v>
                </c:pt>
                <c:pt idx="5">
                  <c:v>2065</c:v>
                </c:pt>
                <c:pt idx="6">
                  <c:v>1365</c:v>
                </c:pt>
                <c:pt idx="7">
                  <c:v>1484</c:v>
                </c:pt>
                <c:pt idx="8">
                  <c:v>303</c:v>
                </c:pt>
                <c:pt idx="9">
                  <c:v>345</c:v>
                </c:pt>
                <c:pt idx="10">
                  <c:v>49470</c:v>
                </c:pt>
                <c:pt idx="11">
                  <c:v>35905</c:v>
                </c:pt>
                <c:pt idx="12">
                  <c:v>18653</c:v>
                </c:pt>
                <c:pt idx="13">
                  <c:v>4758</c:v>
                </c:pt>
                <c:pt idx="14">
                  <c:v>116322</c:v>
                </c:pt>
                <c:pt idx="15">
                  <c:v>5758</c:v>
                </c:pt>
                <c:pt idx="16">
                  <c:v>8299</c:v>
                </c:pt>
                <c:pt idx="17">
                  <c:v>8021</c:v>
                </c:pt>
                <c:pt idx="18">
                  <c:v>2537</c:v>
                </c:pt>
                <c:pt idx="19">
                  <c:v>1255</c:v>
                </c:pt>
              </c:numCache>
            </c:numRef>
          </c:val>
          <c:extLst>
            <c:ext xmlns:c16="http://schemas.microsoft.com/office/drawing/2014/chart" uri="{C3380CC4-5D6E-409C-BE32-E72D297353CC}">
              <c16:uniqueId val="{00000029-F335-478E-95DB-617D70C084CF}"/>
            </c:ext>
          </c:extLst>
        </c:ser>
        <c:ser>
          <c:idx val="42"/>
          <c:order val="42"/>
          <c:tx>
            <c:strRef>
              <c:f>Sheet3!$AS$3:$AS$5</c:f>
              <c:strCache>
                <c:ptCount val="1"/>
                <c:pt idx="0">
                  <c:v>Average of Debt - 2025</c:v>
                </c:pt>
              </c:strCache>
            </c:strRef>
          </c:tx>
          <c:spPr>
            <a:solidFill>
              <a:schemeClr val="accent1">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Sheet3!$AS$6:$AS$32</c:f>
              <c:numCache>
                <c:formatCode>General</c:formatCode>
                <c:ptCount val="21"/>
                <c:pt idx="0">
                  <c:v>220687</c:v>
                </c:pt>
                <c:pt idx="1">
                  <c:v>634606</c:v>
                </c:pt>
                <c:pt idx="2">
                  <c:v>218883</c:v>
                </c:pt>
                <c:pt idx="3">
                  <c:v>97622</c:v>
                </c:pt>
                <c:pt idx="4">
                  <c:v>610857</c:v>
                </c:pt>
                <c:pt idx="5">
                  <c:v>1247</c:v>
                </c:pt>
                <c:pt idx="6">
                  <c:v>950</c:v>
                </c:pt>
                <c:pt idx="7">
                  <c:v>1648</c:v>
                </c:pt>
                <c:pt idx="8">
                  <c:v>285</c:v>
                </c:pt>
                <c:pt idx="9">
                  <c:v>1167</c:v>
                </c:pt>
                <c:pt idx="10">
                  <c:v>51621</c:v>
                </c:pt>
                <c:pt idx="11">
                  <c:v>38218</c:v>
                </c:pt>
                <c:pt idx="12">
                  <c:v>20599</c:v>
                </c:pt>
                <c:pt idx="13">
                  <c:v>5042</c:v>
                </c:pt>
                <c:pt idx="14">
                  <c:v>132409</c:v>
                </c:pt>
                <c:pt idx="15">
                  <c:v>6276</c:v>
                </c:pt>
                <c:pt idx="16">
                  <c:v>8227</c:v>
                </c:pt>
                <c:pt idx="17">
                  <c:v>9392</c:v>
                </c:pt>
                <c:pt idx="18">
                  <c:v>2025</c:v>
                </c:pt>
                <c:pt idx="19">
                  <c:v>1477</c:v>
                </c:pt>
              </c:numCache>
            </c:numRef>
          </c:val>
          <c:extLst>
            <c:ext xmlns:c16="http://schemas.microsoft.com/office/drawing/2014/chart" uri="{C3380CC4-5D6E-409C-BE32-E72D297353CC}">
              <c16:uniqueId val="{0000002A-F335-478E-95DB-617D70C084CF}"/>
            </c:ext>
          </c:extLst>
        </c:ser>
        <c:ser>
          <c:idx val="43"/>
          <c:order val="43"/>
          <c:tx>
            <c:strRef>
              <c:f>Sheet3!$AT$3:$AT$5</c:f>
              <c:strCache>
                <c:ptCount val="1"/>
                <c:pt idx="0">
                  <c:v>Average of Debt - (blank)</c:v>
                </c:pt>
              </c:strCache>
            </c:strRef>
          </c:tx>
          <c:spPr>
            <a:solidFill>
              <a:schemeClr val="accent2">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Sheet3!$AT$6:$AT$32</c:f>
              <c:numCache>
                <c:formatCode>General</c:formatCode>
                <c:ptCount val="21"/>
              </c:numCache>
            </c:numRef>
          </c:val>
          <c:extLst>
            <c:ext xmlns:c16="http://schemas.microsoft.com/office/drawing/2014/chart" uri="{C3380CC4-5D6E-409C-BE32-E72D297353CC}">
              <c16:uniqueId val="{0000002B-F335-478E-95DB-617D70C084CF}"/>
            </c:ext>
          </c:extLst>
        </c:ser>
        <c:ser>
          <c:idx val="44"/>
          <c:order val="44"/>
          <c:tx>
            <c:strRef>
              <c:f>Sheet3!$AU$3:$AU$5</c:f>
              <c:strCache>
                <c:ptCount val="1"/>
                <c:pt idx="0">
                  <c:v>Sum of Debt_to_Equity - 2016</c:v>
                </c:pt>
              </c:strCache>
            </c:strRef>
          </c:tx>
          <c:spPr>
            <a:solidFill>
              <a:schemeClr val="accent3">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Sheet3!$AU$6:$AU$32</c:f>
              <c:numCache>
                <c:formatCode>General</c:formatCode>
                <c:ptCount val="21"/>
                <c:pt idx="0">
                  <c:v>2.1256558188166319</c:v>
                </c:pt>
                <c:pt idx="1">
                  <c:v>1.3958064168819984</c:v>
                </c:pt>
                <c:pt idx="2">
                  <c:v>2.0088406243690962</c:v>
                </c:pt>
                <c:pt idx="3">
                  <c:v>1.3106941613715382</c:v>
                </c:pt>
                <c:pt idx="4">
                  <c:v>2.0011905289270842</c:v>
                </c:pt>
                <c:pt idx="5">
                  <c:v>6.3346228239845259E-2</c:v>
                </c:pt>
                <c:pt idx="6">
                  <c:v>0.20150187734668334</c:v>
                </c:pt>
                <c:pt idx="7">
                  <c:v>2.7843322321849929E-2</c:v>
                </c:pt>
                <c:pt idx="8">
                  <c:v>2.0059701492537315E-3</c:v>
                </c:pt>
                <c:pt idx="9">
                  <c:v>1.0357815442561206E-2</c:v>
                </c:pt>
                <c:pt idx="10">
                  <c:v>1.7066687036895578</c:v>
                </c:pt>
                <c:pt idx="11">
                  <c:v>8.9911100980168683</c:v>
                </c:pt>
                <c:pt idx="12">
                  <c:v>3.4840579710144928</c:v>
                </c:pt>
                <c:pt idx="13">
                  <c:v>#N/A</c:v>
                </c:pt>
                <c:pt idx="14">
                  <c:v>2.0033413647315541</c:v>
                </c:pt>
                <c:pt idx="15">
                  <c:v>4.0208048987421155E-2</c:v>
                </c:pt>
                <c:pt idx="16">
                  <c:v>0</c:v>
                </c:pt>
                <c:pt idx="17">
                  <c:v>3.4567901234567903E-3</c:v>
                </c:pt>
                <c:pt idx="18">
                  <c:v>7.7075238431649595E-2</c:v>
                </c:pt>
                <c:pt idx="19">
                  <c:v>1.2223171452980219E-2</c:v>
                </c:pt>
                <c:pt idx="20">
                  <c:v>#N/A</c:v>
                </c:pt>
              </c:numCache>
            </c:numRef>
          </c:val>
          <c:extLst>
            <c:ext xmlns:c16="http://schemas.microsoft.com/office/drawing/2014/chart" uri="{C3380CC4-5D6E-409C-BE32-E72D297353CC}">
              <c16:uniqueId val="{0000002C-F335-478E-95DB-617D70C084CF}"/>
            </c:ext>
          </c:extLst>
        </c:ser>
        <c:ser>
          <c:idx val="45"/>
          <c:order val="45"/>
          <c:tx>
            <c:strRef>
              <c:f>Sheet3!$AV$3:$AV$5</c:f>
              <c:strCache>
                <c:ptCount val="1"/>
                <c:pt idx="0">
                  <c:v>Sum of Debt_to_Equity - 2017</c:v>
                </c:pt>
              </c:strCache>
            </c:strRef>
          </c:tx>
          <c:spPr>
            <a:solidFill>
              <a:schemeClr val="accent4">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Sheet3!$AV$6:$AV$32</c:f>
              <c:numCache>
                <c:formatCode>General</c:formatCode>
                <c:ptCount val="21"/>
                <c:pt idx="0">
                  <c:v>1.9945902802412203</c:v>
                </c:pt>
                <c:pt idx="1">
                  <c:v>1.0721397912717607</c:v>
                </c:pt>
                <c:pt idx="2">
                  <c:v>1.6311453475036317</c:v>
                </c:pt>
                <c:pt idx="3">
                  <c:v>1.2909175932661332</c:v>
                </c:pt>
                <c:pt idx="4">
                  <c:v>1.548703451324174</c:v>
                </c:pt>
                <c:pt idx="5">
                  <c:v>4.6781437125748504E-2</c:v>
                </c:pt>
                <c:pt idx="6">
                  <c:v>0.20873474630700065</c:v>
                </c:pt>
                <c:pt idx="7">
                  <c:v>4.2432598039215688E-2</c:v>
                </c:pt>
                <c:pt idx="8">
                  <c:v>1.0177441479711491E-3</c:v>
                </c:pt>
                <c:pt idx="9">
                  <c:v>1.05294825511432E-2</c:v>
                </c:pt>
                <c:pt idx="10">
                  <c:v>1.298153342683497</c:v>
                </c:pt>
                <c:pt idx="11">
                  <c:v>4.5334458746571009</c:v>
                </c:pt>
                <c:pt idx="12">
                  <c:v>2.8380081300813007</c:v>
                </c:pt>
                <c:pt idx="13">
                  <c:v>0.88932146829810899</c:v>
                </c:pt>
                <c:pt idx="14">
                  <c:v>1.8779532280631621</c:v>
                </c:pt>
                <c:pt idx="15">
                  <c:v>1.7817781043350477E-2</c:v>
                </c:pt>
                <c:pt idx="16">
                  <c:v>0</c:v>
                </c:pt>
                <c:pt idx="17">
                  <c:v>3.3598009695757817E-3</c:v>
                </c:pt>
                <c:pt idx="18">
                  <c:v>8.538567320915115E-2</c:v>
                </c:pt>
                <c:pt idx="19">
                  <c:v>1.1605189121600501E-2</c:v>
                </c:pt>
                <c:pt idx="20">
                  <c:v>#N/A</c:v>
                </c:pt>
              </c:numCache>
            </c:numRef>
          </c:val>
          <c:extLst>
            <c:ext xmlns:c16="http://schemas.microsoft.com/office/drawing/2014/chart" uri="{C3380CC4-5D6E-409C-BE32-E72D297353CC}">
              <c16:uniqueId val="{0000002D-F335-478E-95DB-617D70C084CF}"/>
            </c:ext>
          </c:extLst>
        </c:ser>
        <c:ser>
          <c:idx val="46"/>
          <c:order val="46"/>
          <c:tx>
            <c:strRef>
              <c:f>Sheet3!$AW$3:$AW$5</c:f>
              <c:strCache>
                <c:ptCount val="1"/>
                <c:pt idx="0">
                  <c:v>Sum of Debt_to_Equity - 2018</c:v>
                </c:pt>
              </c:strCache>
            </c:strRef>
          </c:tx>
          <c:spPr>
            <a:solidFill>
              <a:schemeClr val="accent5">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Sheet3!$AW$6:$AW$32</c:f>
              <c:numCache>
                <c:formatCode>General</c:formatCode>
                <c:ptCount val="21"/>
                <c:pt idx="0">
                  <c:v>2.4260127400439204</c:v>
                </c:pt>
                <c:pt idx="1">
                  <c:v>1.4274035347037839</c:v>
                </c:pt>
                <c:pt idx="2">
                  <c:v>2.0735966735966738</c:v>
                </c:pt>
                <c:pt idx="3">
                  <c:v>1.1607510695610839</c:v>
                </c:pt>
                <c:pt idx="4">
                  <c:v>1.6024548347740761</c:v>
                </c:pt>
                <c:pt idx="5">
                  <c:v>5.9432288586635129E-2</c:v>
                </c:pt>
                <c:pt idx="6">
                  <c:v>0.16962025316455695</c:v>
                </c:pt>
                <c:pt idx="7">
                  <c:v>0</c:v>
                </c:pt>
                <c:pt idx="8">
                  <c:v>7.0189120686293624E-4</c:v>
                </c:pt>
                <c:pt idx="9">
                  <c:v>9.7847358121330719E-3</c:v>
                </c:pt>
                <c:pt idx="10">
                  <c:v>1.0918053589731076</c:v>
                </c:pt>
                <c:pt idx="11">
                  <c:v>8.2375087966220963</c:v>
                </c:pt>
                <c:pt idx="12">
                  <c:v>2.5897771952817825</c:v>
                </c:pt>
                <c:pt idx="13">
                  <c:v>0.67841754798276532</c:v>
                </c:pt>
                <c:pt idx="14">
                  <c:v>1.9684748182999836</c:v>
                </c:pt>
                <c:pt idx="15">
                  <c:v>1.5425944389055058E-2</c:v>
                </c:pt>
                <c:pt idx="16">
                  <c:v>0</c:v>
                </c:pt>
                <c:pt idx="17">
                  <c:v>2.9080377220763623E-3</c:v>
                </c:pt>
                <c:pt idx="18">
                  <c:v>0.13026465952937341</c:v>
                </c:pt>
                <c:pt idx="19">
                  <c:v>1.2398451788524521E-2</c:v>
                </c:pt>
                <c:pt idx="20">
                  <c:v>#N/A</c:v>
                </c:pt>
              </c:numCache>
            </c:numRef>
          </c:val>
          <c:extLst>
            <c:ext xmlns:c16="http://schemas.microsoft.com/office/drawing/2014/chart" uri="{C3380CC4-5D6E-409C-BE32-E72D297353CC}">
              <c16:uniqueId val="{0000002E-F335-478E-95DB-617D70C084CF}"/>
            </c:ext>
          </c:extLst>
        </c:ser>
        <c:ser>
          <c:idx val="47"/>
          <c:order val="47"/>
          <c:tx>
            <c:strRef>
              <c:f>Sheet3!$AX$3:$AX$5</c:f>
              <c:strCache>
                <c:ptCount val="1"/>
                <c:pt idx="0">
                  <c:v>Sum of Debt_to_Equity - 2019</c:v>
                </c:pt>
              </c:strCache>
            </c:strRef>
          </c:tx>
          <c:spPr>
            <a:solidFill>
              <a:schemeClr val="accent6">
                <a:lumMod val="7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Sheet3!$AX$6:$AX$32</c:f>
              <c:numCache>
                <c:formatCode>General</c:formatCode>
                <c:ptCount val="21"/>
                <c:pt idx="0">
                  <c:v>2.3782484292498745</c:v>
                </c:pt>
                <c:pt idx="1">
                  <c:v>1.0264197354122064</c:v>
                </c:pt>
                <c:pt idx="2">
                  <c:v>1.840861946732252</c:v>
                </c:pt>
                <c:pt idx="3">
                  <c:v>1.1584950070092246</c:v>
                </c:pt>
                <c:pt idx="4">
                  <c:v>1.7644214162348877</c:v>
                </c:pt>
                <c:pt idx="5">
                  <c:v>3.6888153227713411E-2</c:v>
                </c:pt>
                <c:pt idx="6">
                  <c:v>0.12813932172318973</c:v>
                </c:pt>
                <c:pt idx="7">
                  <c:v>1.2939485034635996E-2</c:v>
                </c:pt>
                <c:pt idx="8">
                  <c:v>2.244668911335578E-4</c:v>
                </c:pt>
                <c:pt idx="9">
                  <c:v>0.10373216245883644</c:v>
                </c:pt>
                <c:pt idx="10">
                  <c:v>1.1566908756991401</c:v>
                </c:pt>
                <c:pt idx="11">
                  <c:v>-26.09271523178808</c:v>
                </c:pt>
                <c:pt idx="12">
                  <c:v>2.7831991951710262</c:v>
                </c:pt>
                <c:pt idx="13">
                  <c:v>0.72550406791651922</c:v>
                </c:pt>
                <c:pt idx="14">
                  <c:v>2.0220150095017231</c:v>
                </c:pt>
                <c:pt idx="15">
                  <c:v>0.10208054507847671</c:v>
                </c:pt>
                <c:pt idx="16">
                  <c:v>0</c:v>
                </c:pt>
                <c:pt idx="17">
                  <c:v>6.9607391855935148E-4</c:v>
                </c:pt>
                <c:pt idx="18">
                  <c:v>0.10059976815684693</c:v>
                </c:pt>
                <c:pt idx="19">
                  <c:v>1.3365691104027818E-2</c:v>
                </c:pt>
                <c:pt idx="20">
                  <c:v>#N/A</c:v>
                </c:pt>
              </c:numCache>
            </c:numRef>
          </c:val>
          <c:extLst>
            <c:ext xmlns:c16="http://schemas.microsoft.com/office/drawing/2014/chart" uri="{C3380CC4-5D6E-409C-BE32-E72D297353CC}">
              <c16:uniqueId val="{0000002F-F335-478E-95DB-617D70C084CF}"/>
            </c:ext>
          </c:extLst>
        </c:ser>
        <c:ser>
          <c:idx val="48"/>
          <c:order val="48"/>
          <c:tx>
            <c:strRef>
              <c:f>Sheet3!$AY$3:$AY$5</c:f>
              <c:strCache>
                <c:ptCount val="1"/>
                <c:pt idx="0">
                  <c:v>Sum of Debt_to_Equity - 2020</c:v>
                </c:pt>
              </c:strCache>
            </c:strRef>
          </c:tx>
          <c:spPr>
            <a:solidFill>
              <a:schemeClr val="accent1">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Sheet3!$AY$6:$AY$32</c:f>
              <c:numCache>
                <c:formatCode>General</c:formatCode>
                <c:ptCount val="21"/>
                <c:pt idx="0">
                  <c:v>1.7973129488070418</c:v>
                </c:pt>
                <c:pt idx="1">
                  <c:v>1.0594018984111864</c:v>
                </c:pt>
                <c:pt idx="2">
                  <c:v>1.7391997397527652</c:v>
                </c:pt>
                <c:pt idx="3">
                  <c:v>0.99159626033584947</c:v>
                </c:pt>
                <c:pt idx="4">
                  <c:v>1.325981837011073</c:v>
                </c:pt>
                <c:pt idx="5">
                  <c:v>0.35122174012331581</c:v>
                </c:pt>
                <c:pt idx="6">
                  <c:v>8.1194587027531503E-2</c:v>
                </c:pt>
                <c:pt idx="7">
                  <c:v>0</c:v>
                </c:pt>
                <c:pt idx="8">
                  <c:v>4.3251514583723689E-3</c:v>
                </c:pt>
                <c:pt idx="9">
                  <c:v>7.6443057722308888E-2</c:v>
                </c:pt>
                <c:pt idx="10">
                  <c:v>1.207217276755419</c:v>
                </c:pt>
                <c:pt idx="11">
                  <c:v>-11.248203788373612</c:v>
                </c:pt>
                <c:pt idx="12">
                  <c:v>1.4539567208971726</c:v>
                </c:pt>
                <c:pt idx="13">
                  <c:v>1.2471864951768488</c:v>
                </c:pt>
                <c:pt idx="14">
                  <c:v>2.1548719183648899</c:v>
                </c:pt>
                <c:pt idx="15">
                  <c:v>0.15744026496333097</c:v>
                </c:pt>
                <c:pt idx="16">
                  <c:v>0</c:v>
                </c:pt>
                <c:pt idx="17">
                  <c:v>9.759883464078041E-2</c:v>
                </c:pt>
                <c:pt idx="18">
                  <c:v>0.17167984282172427</c:v>
                </c:pt>
                <c:pt idx="19">
                  <c:v>1.3529227191347202E-2</c:v>
                </c:pt>
                <c:pt idx="20">
                  <c:v>#N/A</c:v>
                </c:pt>
              </c:numCache>
            </c:numRef>
          </c:val>
          <c:extLst>
            <c:ext xmlns:c16="http://schemas.microsoft.com/office/drawing/2014/chart" uri="{C3380CC4-5D6E-409C-BE32-E72D297353CC}">
              <c16:uniqueId val="{00000030-F335-478E-95DB-617D70C084CF}"/>
            </c:ext>
          </c:extLst>
        </c:ser>
        <c:ser>
          <c:idx val="49"/>
          <c:order val="49"/>
          <c:tx>
            <c:strRef>
              <c:f>Sheet3!$AZ$3:$AZ$5</c:f>
              <c:strCache>
                <c:ptCount val="1"/>
                <c:pt idx="0">
                  <c:v>Sum of Debt_to_Equity - 2021</c:v>
                </c:pt>
              </c:strCache>
            </c:strRef>
          </c:tx>
          <c:spPr>
            <a:solidFill>
              <a:schemeClr val="accent2">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Sheet3!$AZ$6:$AZ$32</c:f>
              <c:numCache>
                <c:formatCode>General</c:formatCode>
                <c:ptCount val="21"/>
                <c:pt idx="0">
                  <c:v>1.4696700581114737</c:v>
                </c:pt>
                <c:pt idx="1">
                  <c:v>0.84694247176016391</c:v>
                </c:pt>
                <c:pt idx="2">
                  <c:v>0.91314638897878631</c:v>
                </c:pt>
                <c:pt idx="3">
                  <c:v>0.5719655201033923</c:v>
                </c:pt>
                <c:pt idx="4">
                  <c:v>1.5742285737096324</c:v>
                </c:pt>
                <c:pt idx="5">
                  <c:v>0.60215664018161186</c:v>
                </c:pt>
                <c:pt idx="6">
                  <c:v>6.7984506477895015E-2</c:v>
                </c:pt>
                <c:pt idx="7">
                  <c:v>0</c:v>
                </c:pt>
                <c:pt idx="8">
                  <c:v>4.5842073211989987E-3</c:v>
                </c:pt>
                <c:pt idx="9">
                  <c:v>0.14378378378378379</c:v>
                </c:pt>
                <c:pt idx="10">
                  <c:v>1.1937739304145163</c:v>
                </c:pt>
                <c:pt idx="11">
                  <c:v>-15.875968992248062</c:v>
                </c:pt>
                <c:pt idx="12">
                  <c:v>2.9346465109176973</c:v>
                </c:pt>
                <c:pt idx="13">
                  <c:v>1.3938537619215825</c:v>
                </c:pt>
                <c:pt idx="14">
                  <c:v>1.781089590940361</c:v>
                </c:pt>
                <c:pt idx="15">
                  <c:v>0.11561394643759475</c:v>
                </c:pt>
                <c:pt idx="16">
                  <c:v>7.3158792319353211E-2</c:v>
                </c:pt>
                <c:pt idx="17">
                  <c:v>9.0573184760001396E-2</c:v>
                </c:pt>
                <c:pt idx="18">
                  <c:v>0.1187571639102669</c:v>
                </c:pt>
                <c:pt idx="19">
                  <c:v>9.4600873524765348E-3</c:v>
                </c:pt>
                <c:pt idx="20">
                  <c:v>#N/A</c:v>
                </c:pt>
              </c:numCache>
            </c:numRef>
          </c:val>
          <c:extLst>
            <c:ext xmlns:c16="http://schemas.microsoft.com/office/drawing/2014/chart" uri="{C3380CC4-5D6E-409C-BE32-E72D297353CC}">
              <c16:uniqueId val="{00000031-F335-478E-95DB-617D70C084CF}"/>
            </c:ext>
          </c:extLst>
        </c:ser>
        <c:ser>
          <c:idx val="50"/>
          <c:order val="50"/>
          <c:tx>
            <c:strRef>
              <c:f>Sheet3!$BA$3:$BA$5</c:f>
              <c:strCache>
                <c:ptCount val="1"/>
                <c:pt idx="0">
                  <c:v>Sum of Debt_to_Equity - 2022</c:v>
                </c:pt>
              </c:strCache>
            </c:strRef>
          </c:tx>
          <c:spPr>
            <a:solidFill>
              <a:schemeClr val="accent3">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Sheet3!$BA$6:$BA$32</c:f>
              <c:numCache>
                <c:formatCode>General</c:formatCode>
                <c:ptCount val="21"/>
                <c:pt idx="0">
                  <c:v>1.6892974015102189</c:v>
                </c:pt>
                <c:pt idx="1">
                  <c:v>0.91767578954178075</c:v>
                </c:pt>
                <c:pt idx="2">
                  <c:v>0.88767007409930077</c:v>
                </c:pt>
                <c:pt idx="3">
                  <c:v>0.57580303108674291</c:v>
                </c:pt>
                <c:pt idx="4">
                  <c:v>1.4698221134337737</c:v>
                </c:pt>
                <c:pt idx="5">
                  <c:v>0.97908445146014211</c:v>
                </c:pt>
                <c:pt idx="6">
                  <c:v>0.12553321145642901</c:v>
                </c:pt>
                <c:pt idx="7">
                  <c:v>2.1361569655511409E-2</c:v>
                </c:pt>
                <c:pt idx="8">
                  <c:v>4.0670989660748415E-3</c:v>
                </c:pt>
                <c:pt idx="9">
                  <c:v>0.1146847228099873</c:v>
                </c:pt>
                <c:pt idx="10">
                  <c:v>1.1578782096185898</c:v>
                </c:pt>
                <c:pt idx="11">
                  <c:v>-18.742434904996482</c:v>
                </c:pt>
                <c:pt idx="12">
                  <c:v>1.3958368165858552</c:v>
                </c:pt>
                <c:pt idx="13">
                  <c:v>1.4757160647571606</c:v>
                </c:pt>
                <c:pt idx="14">
                  <c:v>1.5282184908738905</c:v>
                </c:pt>
                <c:pt idx="15">
                  <c:v>0.10335500480683059</c:v>
                </c:pt>
                <c:pt idx="16">
                  <c:v>7.1739394021043554E-2</c:v>
                </c:pt>
                <c:pt idx="17">
                  <c:v>8.8067317765536821E-2</c:v>
                </c:pt>
                <c:pt idx="18">
                  <c:v>9.8990433697583841E-2</c:v>
                </c:pt>
                <c:pt idx="19">
                  <c:v>8.2728163341471376E-3</c:v>
                </c:pt>
                <c:pt idx="20">
                  <c:v>#N/A</c:v>
                </c:pt>
              </c:numCache>
            </c:numRef>
          </c:val>
          <c:extLst>
            <c:ext xmlns:c16="http://schemas.microsoft.com/office/drawing/2014/chart" uri="{C3380CC4-5D6E-409C-BE32-E72D297353CC}">
              <c16:uniqueId val="{00000032-F335-478E-95DB-617D70C084CF}"/>
            </c:ext>
          </c:extLst>
        </c:ser>
        <c:ser>
          <c:idx val="51"/>
          <c:order val="51"/>
          <c:tx>
            <c:strRef>
              <c:f>Sheet3!$BB$3:$BB$5</c:f>
              <c:strCache>
                <c:ptCount val="1"/>
                <c:pt idx="0">
                  <c:v>Sum of Debt_to_Equity - 2023</c:v>
                </c:pt>
              </c:strCache>
            </c:strRef>
          </c:tx>
          <c:spPr>
            <a:solidFill>
              <a:schemeClr val="accent4">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Sheet3!$BB$6:$BB$32</c:f>
              <c:numCache>
                <c:formatCode>General</c:formatCode>
                <c:ptCount val="21"/>
                <c:pt idx="0">
                  <c:v>1.5889382883472927</c:v>
                </c:pt>
                <c:pt idx="1">
                  <c:v>0.88636944699728437</c:v>
                </c:pt>
                <c:pt idx="2">
                  <c:v>0.881416143740268</c:v>
                </c:pt>
                <c:pt idx="3">
                  <c:v>0.51455095068596057</c:v>
                </c:pt>
                <c:pt idx="4">
                  <c:v>1.451955946964737</c:v>
                </c:pt>
                <c:pt idx="5">
                  <c:v>0.85384615384615381</c:v>
                </c:pt>
                <c:pt idx="6">
                  <c:v>0.13346975898135516</c:v>
                </c:pt>
                <c:pt idx="7">
                  <c:v>2.4346401965287902E-2</c:v>
                </c:pt>
                <c:pt idx="8">
                  <c:v>4.5058310755094833E-3</c:v>
                </c:pt>
                <c:pt idx="9">
                  <c:v>0.1146847228099873</c:v>
                </c:pt>
                <c:pt idx="10">
                  <c:v>1.1885579553795849</c:v>
                </c:pt>
                <c:pt idx="11">
                  <c:v>-23.035100286532952</c:v>
                </c:pt>
                <c:pt idx="12">
                  <c:v>1.3109980430528376</c:v>
                </c:pt>
                <c:pt idx="13">
                  <c:v>1.2566712517193948</c:v>
                </c:pt>
                <c:pt idx="14">
                  <c:v>1.3549328990959628</c:v>
                </c:pt>
                <c:pt idx="15">
                  <c:v>7.3910764392093986E-2</c:v>
                </c:pt>
                <c:pt idx="16">
                  <c:v>7.4728335062523896E-2</c:v>
                </c:pt>
                <c:pt idx="17">
                  <c:v>8.5367207799418157E-2</c:v>
                </c:pt>
                <c:pt idx="18">
                  <c:v>9.840540152276972E-2</c:v>
                </c:pt>
                <c:pt idx="19">
                  <c:v>1.3164424709416221E-2</c:v>
                </c:pt>
                <c:pt idx="20">
                  <c:v>#N/A</c:v>
                </c:pt>
              </c:numCache>
            </c:numRef>
          </c:val>
          <c:extLst>
            <c:ext xmlns:c16="http://schemas.microsoft.com/office/drawing/2014/chart" uri="{C3380CC4-5D6E-409C-BE32-E72D297353CC}">
              <c16:uniqueId val="{00000033-F335-478E-95DB-617D70C084CF}"/>
            </c:ext>
          </c:extLst>
        </c:ser>
        <c:ser>
          <c:idx val="52"/>
          <c:order val="52"/>
          <c:tx>
            <c:strRef>
              <c:f>Sheet3!$BC$3:$BC$5</c:f>
              <c:strCache>
                <c:ptCount val="1"/>
                <c:pt idx="0">
                  <c:v>Sum of Debt_to_Equity - 2024</c:v>
                </c:pt>
              </c:strCache>
            </c:strRef>
          </c:tx>
          <c:spPr>
            <a:solidFill>
              <a:schemeClr val="accent5">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Sheet3!$BC$6:$BC$32</c:f>
              <c:numCache>
                <c:formatCode>General</c:formatCode>
                <c:ptCount val="21"/>
                <c:pt idx="0">
                  <c:v>1.4532902823153295</c:v>
                </c:pt>
                <c:pt idx="1">
                  <c:v>1.600835677788587</c:v>
                </c:pt>
                <c:pt idx="2">
                  <c:v>0.80981010681491661</c:v>
                </c:pt>
                <c:pt idx="3">
                  <c:v>0.57786292432216169</c:v>
                </c:pt>
                <c:pt idx="4">
                  <c:v>1.5414554910480818</c:v>
                </c:pt>
                <c:pt idx="5">
                  <c:v>0.52718917538932852</c:v>
                </c:pt>
                <c:pt idx="6">
                  <c:v>0.14088141191041387</c:v>
                </c:pt>
                <c:pt idx="7">
                  <c:v>2.9107741796285037E-2</c:v>
                </c:pt>
                <c:pt idx="8">
                  <c:v>4.136010592555181E-3</c:v>
                </c:pt>
                <c:pt idx="9">
                  <c:v>0.1063501849568434</c:v>
                </c:pt>
                <c:pt idx="10">
                  <c:v>0.9450578840790127</c:v>
                </c:pt>
                <c:pt idx="11">
                  <c:v>-12.971459537572255</c:v>
                </c:pt>
                <c:pt idx="12">
                  <c:v>1.4194505745377064</c:v>
                </c:pt>
                <c:pt idx="13">
                  <c:v>0.62473739495798319</c:v>
                </c:pt>
                <c:pt idx="14">
                  <c:v>1.3512615584777659</c:v>
                </c:pt>
                <c:pt idx="15">
                  <c:v>8.5026580035440044E-2</c:v>
                </c:pt>
                <c:pt idx="16">
                  <c:v>0.11316098066486678</c:v>
                </c:pt>
                <c:pt idx="17">
                  <c:v>8.8996638077379703E-2</c:v>
                </c:pt>
                <c:pt idx="18">
                  <c:v>9.6728686899496721E-2</c:v>
                </c:pt>
                <c:pt idx="19">
                  <c:v>1.6972532896961174E-2</c:v>
                </c:pt>
                <c:pt idx="20">
                  <c:v>#N/A</c:v>
                </c:pt>
              </c:numCache>
            </c:numRef>
          </c:val>
          <c:extLst>
            <c:ext xmlns:c16="http://schemas.microsoft.com/office/drawing/2014/chart" uri="{C3380CC4-5D6E-409C-BE32-E72D297353CC}">
              <c16:uniqueId val="{00000034-F335-478E-95DB-617D70C084CF}"/>
            </c:ext>
          </c:extLst>
        </c:ser>
        <c:ser>
          <c:idx val="53"/>
          <c:order val="53"/>
          <c:tx>
            <c:strRef>
              <c:f>Sheet3!$BD$3:$BD$5</c:f>
              <c:strCache>
                <c:ptCount val="1"/>
                <c:pt idx="0">
                  <c:v>Sum of Debt_to_Equity - 2025</c:v>
                </c:pt>
              </c:strCache>
            </c:strRef>
          </c:tx>
          <c:spPr>
            <a:solidFill>
              <a:schemeClr val="accent6">
                <a:lumMod val="50000"/>
                <a:lumOff val="50000"/>
              </a:schemeClr>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Sheet3!$BD$6:$BD$32</c:f>
              <c:numCache>
                <c:formatCode>General</c:formatCode>
                <c:ptCount val="21"/>
                <c:pt idx="0">
                  <c:v>1.1786631772905707</c:v>
                </c:pt>
                <c:pt idx="1">
                  <c:v>1.2162119170775927</c:v>
                </c:pt>
                <c:pt idx="2">
                  <c:v>0.69728836020974427</c:v>
                </c:pt>
                <c:pt idx="3">
                  <c:v>0.61986551441687987</c:v>
                </c:pt>
                <c:pt idx="4">
                  <c:v>1.2542337732734337</c:v>
                </c:pt>
                <c:pt idx="5">
                  <c:v>0.28785780240073872</c:v>
                </c:pt>
                <c:pt idx="6">
                  <c:v>8.9428598324390471E-2</c:v>
                </c:pt>
                <c:pt idx="7">
                  <c:v>3.351841682429272E-2</c:v>
                </c:pt>
                <c:pt idx="8">
                  <c:v>4.1437066546474938E-3</c:v>
                </c:pt>
                <c:pt idx="9">
                  <c:v>0.29022631186272074</c:v>
                </c:pt>
                <c:pt idx="10">
                  <c:v>0.83479146789139191</c:v>
                </c:pt>
                <c:pt idx="11">
                  <c:v>-10.738409665636414</c:v>
                </c:pt>
                <c:pt idx="12">
                  <c:v>1.0715809186911511</c:v>
                </c:pt>
                <c:pt idx="13">
                  <c:v>0.54320189614307257</c:v>
                </c:pt>
                <c:pt idx="14">
                  <c:v>1.3597005576036394</c:v>
                </c:pt>
                <c:pt idx="15">
                  <c:v>9.0809121426090988E-2</c:v>
                </c:pt>
                <c:pt idx="16">
                  <c:v>8.7759347165182147E-2</c:v>
                </c:pt>
                <c:pt idx="17">
                  <c:v>9.9497849439583022E-2</c:v>
                </c:pt>
                <c:pt idx="18">
                  <c:v>7.5225677031093285E-2</c:v>
                </c:pt>
                <c:pt idx="19">
                  <c:v>1.8294193420531114E-2</c:v>
                </c:pt>
                <c:pt idx="20">
                  <c:v>#N/A</c:v>
                </c:pt>
              </c:numCache>
            </c:numRef>
          </c:val>
          <c:extLst>
            <c:ext xmlns:c16="http://schemas.microsoft.com/office/drawing/2014/chart" uri="{C3380CC4-5D6E-409C-BE32-E72D297353CC}">
              <c16:uniqueId val="{00000035-F335-478E-95DB-617D70C084CF}"/>
            </c:ext>
          </c:extLst>
        </c:ser>
        <c:ser>
          <c:idx val="54"/>
          <c:order val="54"/>
          <c:tx>
            <c:strRef>
              <c:f>Sheet3!$BE$3:$BE$5</c:f>
              <c:strCache>
                <c:ptCount val="1"/>
                <c:pt idx="0">
                  <c:v>Sum of Debt_to_Equity - (blank)</c:v>
                </c:pt>
              </c:strCache>
            </c:strRef>
          </c:tx>
          <c:spPr>
            <a:solidFill>
              <a:schemeClr val="accent1"/>
            </a:solidFill>
            <a:ln>
              <a:noFill/>
            </a:ln>
            <a:effectLst/>
          </c:spPr>
          <c:invertIfNegative val="0"/>
          <c:cat>
            <c:multiLvlStrRef>
              <c:f>Sheet3!$A$6:$B$32</c:f>
              <c:multiLvlStrCache>
                <c:ptCount val="21"/>
                <c:lvl>
                  <c:pt idx="0">
                    <c:v>Axis Bank</c:v>
                  </c:pt>
                  <c:pt idx="1">
                    <c:v>HDFC Bank</c:v>
                  </c:pt>
                  <c:pt idx="2">
                    <c:v>ICICI Bank</c:v>
                  </c:pt>
                  <c:pt idx="3">
                    <c:v>Kotak Mahindra Bank</c:v>
                  </c:pt>
                  <c:pt idx="4">
                    <c:v>State Bank of India</c:v>
                  </c:pt>
                  <c:pt idx="5">
                    <c:v>Britannia</c:v>
                  </c:pt>
                  <c:pt idx="6">
                    <c:v>Dabur</c:v>
                  </c:pt>
                  <c:pt idx="7">
                    <c:v>HUL</c:v>
                  </c:pt>
                  <c:pt idx="8">
                    <c:v>ITC</c:v>
                  </c:pt>
                  <c:pt idx="9">
                    <c:v>Nestle</c:v>
                  </c:pt>
                  <c:pt idx="10">
                    <c:v>AdaniPorts</c:v>
                  </c:pt>
                  <c:pt idx="11">
                    <c:v>GMR</c:v>
                  </c:pt>
                  <c:pt idx="12">
                    <c:v>IRB</c:v>
                  </c:pt>
                  <c:pt idx="13">
                    <c:v>JSWInfra</c:v>
                  </c:pt>
                  <c:pt idx="14">
                    <c:v>LT</c:v>
                  </c:pt>
                  <c:pt idx="15">
                    <c:v>HCL</c:v>
                  </c:pt>
                  <c:pt idx="16">
                    <c:v>Infosys</c:v>
                  </c:pt>
                  <c:pt idx="17">
                    <c:v>TCS</c:v>
                  </c:pt>
                  <c:pt idx="18">
                    <c:v>TechMahindra</c:v>
                  </c:pt>
                  <c:pt idx="19">
                    <c:v>Wipro</c:v>
                  </c:pt>
                  <c:pt idx="20">
                    <c:v>(blank)</c:v>
                  </c:pt>
                </c:lvl>
                <c:lvl>
                  <c:pt idx="0">
                    <c:v>Banking</c:v>
                  </c:pt>
                  <c:pt idx="5">
                    <c:v>FMCG</c:v>
                  </c:pt>
                  <c:pt idx="10">
                    <c:v>Infra</c:v>
                  </c:pt>
                  <c:pt idx="15">
                    <c:v>IT</c:v>
                  </c:pt>
                  <c:pt idx="20">
                    <c:v>(blank)</c:v>
                  </c:pt>
                </c:lvl>
              </c:multiLvlStrCache>
            </c:multiLvlStrRef>
          </c:cat>
          <c:val>
            <c:numRef>
              <c:f>Sheet3!$BE$6:$BE$32</c:f>
              <c:numCache>
                <c:formatCode>General</c:formatCode>
                <c:ptCount val="2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val>
          <c:extLst>
            <c:ext xmlns:c16="http://schemas.microsoft.com/office/drawing/2014/chart" uri="{C3380CC4-5D6E-409C-BE32-E72D297353CC}">
              <c16:uniqueId val="{00000036-F335-478E-95DB-617D70C084CF}"/>
            </c:ext>
          </c:extLst>
        </c:ser>
        <c:dLbls>
          <c:showLegendKey val="0"/>
          <c:showVal val="0"/>
          <c:showCatName val="0"/>
          <c:showSerName val="0"/>
          <c:showPercent val="0"/>
          <c:showBubbleSize val="0"/>
        </c:dLbls>
        <c:gapWidth val="219"/>
        <c:overlap val="-27"/>
        <c:axId val="1776792063"/>
        <c:axId val="1776792543"/>
      </c:barChart>
      <c:catAx>
        <c:axId val="17767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92543"/>
        <c:crosses val="autoZero"/>
        <c:auto val="1"/>
        <c:lblAlgn val="ctr"/>
        <c:lblOffset val="100"/>
        <c:noMultiLvlLbl val="0"/>
      </c:catAx>
      <c:valAx>
        <c:axId val="17767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9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60</xdr:col>
      <xdr:colOff>913868</xdr:colOff>
      <xdr:row>8</xdr:row>
      <xdr:rowOff>157362</xdr:rowOff>
    </xdr:from>
    <xdr:to>
      <xdr:col>61</xdr:col>
      <xdr:colOff>1367018</xdr:colOff>
      <xdr:row>22</xdr:row>
      <xdr:rowOff>19360</xdr:rowOff>
    </xdr:to>
    <mc:AlternateContent xmlns:mc="http://schemas.openxmlformats.org/markup-compatibility/2006" xmlns:a14="http://schemas.microsoft.com/office/drawing/2010/main">
      <mc:Choice Requires="a14">
        <xdr:graphicFrame macro="">
          <xdr:nvGraphicFramePr>
            <xdr:cNvPr id="2" name="Company">
              <a:extLst>
                <a:ext uri="{FF2B5EF4-FFF2-40B4-BE49-F238E27FC236}">
                  <a16:creationId xmlns:a16="http://schemas.microsoft.com/office/drawing/2014/main" id="{BFE43156-6931-4220-A5C0-A6E25E996CE9}"/>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88141097" y="1637819"/>
              <a:ext cx="1835635" cy="2452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1393928</xdr:colOff>
      <xdr:row>11</xdr:row>
      <xdr:rowOff>79213</xdr:rowOff>
    </xdr:from>
    <xdr:to>
      <xdr:col>62</xdr:col>
      <xdr:colOff>39264</xdr:colOff>
      <xdr:row>24</xdr:row>
      <xdr:rowOff>127281</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EC6022ED-AA9B-F18D-0F73-3A427541FBE2}"/>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88613537" y="2114842"/>
              <a:ext cx="1842470" cy="245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166931</xdr:colOff>
      <xdr:row>32</xdr:row>
      <xdr:rowOff>71946</xdr:rowOff>
    </xdr:from>
    <xdr:to>
      <xdr:col>1</xdr:col>
      <xdr:colOff>1207150</xdr:colOff>
      <xdr:row>45</xdr:row>
      <xdr:rowOff>120014</xdr:rowOff>
    </xdr:to>
    <mc:AlternateContent xmlns:mc="http://schemas.openxmlformats.org/markup-compatibility/2006" xmlns:a14="http://schemas.microsoft.com/office/drawing/2010/main">
      <mc:Choice Requires="a14">
        <xdr:graphicFrame macro="">
          <xdr:nvGraphicFramePr>
            <xdr:cNvPr id="4" name="Company 1">
              <a:extLst>
                <a:ext uri="{FF2B5EF4-FFF2-40B4-BE49-F238E27FC236}">
                  <a16:creationId xmlns:a16="http://schemas.microsoft.com/office/drawing/2014/main" id="{B17F0E20-EB97-DB28-90FF-155170F6640E}"/>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66931" y="5993775"/>
              <a:ext cx="1823990" cy="245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1267225</xdr:colOff>
      <xdr:row>32</xdr:row>
      <xdr:rowOff>82402</xdr:rowOff>
    </xdr:from>
    <xdr:to>
      <xdr:col>3</xdr:col>
      <xdr:colOff>265485</xdr:colOff>
      <xdr:row>45</xdr:row>
      <xdr:rowOff>130470</xdr:rowOff>
    </xdr:to>
    <mc:AlternateContent xmlns:mc="http://schemas.openxmlformats.org/markup-compatibility/2006" xmlns:a14="http://schemas.microsoft.com/office/drawing/2010/main">
      <mc:Choice Requires="a14">
        <xdr:graphicFrame macro="">
          <xdr:nvGraphicFramePr>
            <xdr:cNvPr id="5" name="Sector 1">
              <a:extLst>
                <a:ext uri="{FF2B5EF4-FFF2-40B4-BE49-F238E27FC236}">
                  <a16:creationId xmlns:a16="http://schemas.microsoft.com/office/drawing/2014/main" id="{F3CE48CB-3DC7-A94E-F079-B62041145019}"/>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2050996" y="6004231"/>
              <a:ext cx="1839432" cy="245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855035</xdr:colOff>
      <xdr:row>32</xdr:row>
      <xdr:rowOff>68224</xdr:rowOff>
    </xdr:from>
    <xdr:to>
      <xdr:col>8</xdr:col>
      <xdr:colOff>1018954</xdr:colOff>
      <xdr:row>56</xdr:row>
      <xdr:rowOff>35442</xdr:rowOff>
    </xdr:to>
    <xdr:graphicFrame macro="">
      <xdr:nvGraphicFramePr>
        <xdr:cNvPr id="6" name="Chart 5">
          <a:extLst>
            <a:ext uri="{FF2B5EF4-FFF2-40B4-BE49-F238E27FC236}">
              <a16:creationId xmlns:a16="http://schemas.microsoft.com/office/drawing/2014/main" id="{66DE0252-6E60-E6A9-E18B-57A71990E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4.889383449074" createdVersion="8" refreshedVersion="8" minRefreshableVersion="3" recordCount="200" xr:uid="{89952568-E1BB-425C-81CE-694C26FC2A00}">
  <cacheSource type="worksheet">
    <worksheetSource ref="A1:J1048576" sheet="Sheet1"/>
  </cacheSource>
  <cacheFields count="11">
    <cacheField name="Company" numFmtId="0">
      <sharedItems containsBlank="1" count="21">
        <s v="HDFC Bank"/>
        <s v="ICICI Bank"/>
        <s v="State Bank of India"/>
        <s v="Axis Bank"/>
        <s v="Kotak Mahindra Bank"/>
        <s v="TCS"/>
        <s v="Infosys"/>
        <s v="Wipro"/>
        <s v="HCL"/>
        <s v="TechMahindra"/>
        <s v="HUL"/>
        <s v="ITC"/>
        <s v="Nestle"/>
        <s v="Dabur"/>
        <s v="Britannia"/>
        <s v="LT"/>
        <s v="AdaniPorts"/>
        <s v="JSWInfra"/>
        <s v="IRB"/>
        <s v="GMR"/>
        <m/>
      </sharedItems>
    </cacheField>
    <cacheField name="Sector" numFmtId="0">
      <sharedItems containsBlank="1" count="5">
        <s v="Banking"/>
        <s v="IT"/>
        <s v="FMCG"/>
        <s v="Infra"/>
        <m/>
      </sharedItems>
    </cacheField>
    <cacheField name="Year" numFmtId="0">
      <sharedItems containsString="0" containsBlank="1" containsNumber="1" containsInteger="1" minValue="2016" maxValue="2025" count="11">
        <n v="2016"/>
        <n v="2017"/>
        <n v="2018"/>
        <n v="2019"/>
        <n v="2020"/>
        <n v="2021"/>
        <n v="2022"/>
        <n v="2023"/>
        <n v="2024"/>
        <n v="2025"/>
        <m/>
      </sharedItems>
    </cacheField>
    <cacheField name="Revenue" numFmtId="0">
      <sharedItems containsString="0" containsBlank="1" containsNumber="1" containsInteger="1" minValue="888" maxValue="490938"/>
    </cacheField>
    <cacheField name="EBITDA" numFmtId="0">
      <sharedItems containsString="0" containsBlank="1" containsNumber="1" containsInteger="1" minValue="457" maxValue="67407" count="150">
        <m/>
        <n v="30677"/>
        <n v="32311"/>
        <n v="32516"/>
        <n v="39506"/>
        <n v="42109"/>
        <n v="46546"/>
        <n v="53057"/>
        <n v="59259"/>
        <n v="64296"/>
        <n v="67407"/>
        <n v="14883"/>
        <n v="17079"/>
        <n v="18604"/>
        <n v="18822"/>
        <n v="20170"/>
        <n v="22267"/>
        <n v="27889"/>
        <n v="31491"/>
        <n v="35130"/>
        <n v="39236"/>
        <n v="10796"/>
        <n v="11321"/>
        <n v="10387"/>
        <n v="11613"/>
        <n v="12342"/>
        <n v="14771"/>
        <n v="16684"/>
        <n v="16839"/>
        <n v="16752"/>
        <n v="18021"/>
        <n v="6654"/>
        <n v="10390"/>
        <n v="11246"/>
        <n v="13926"/>
        <n v="17316"/>
        <n v="20048"/>
        <n v="20529"/>
        <n v="22628"/>
        <n v="24198"/>
        <n v="25504"/>
        <n v="4260"/>
        <n v="4184"/>
        <n v="4710"/>
        <n v="6271"/>
        <n v="5503"/>
        <n v="6796"/>
        <n v="8020"/>
        <n v="7763"/>
        <n v="4506"/>
        <n v="6964"/>
        <n v="5910"/>
        <n v="6328"/>
        <n v="7499"/>
        <n v="8880"/>
        <n v="9861"/>
        <n v="11626"/>
        <n v="12857"/>
        <n v="14147"/>
        <n v="14659"/>
        <n v="14843"/>
        <n v="14531"/>
        <n v="15470"/>
        <n v="16521"/>
        <n v="18537"/>
        <n v="19344"/>
        <n v="17065"/>
        <n v="20623"/>
        <n v="25704"/>
        <n v="25188"/>
        <n v="25839"/>
        <n v="1850"/>
        <n v="2097"/>
        <n v="2618"/>
        <n v="2926"/>
        <n v="3202"/>
        <n v="3562"/>
        <n v="3706"/>
        <n v="4471"/>
        <n v="5843"/>
        <n v="4771"/>
        <n v="1518"/>
        <n v="1512"/>
        <n v="1617"/>
        <n v="1740"/>
        <n v="1792"/>
        <n v="2002"/>
        <n v="2252"/>
        <n v="2162"/>
        <n v="2400"/>
        <n v="2316"/>
        <n v="1224"/>
        <n v="1278"/>
        <n v="1501"/>
        <n v="1732"/>
        <n v="1843"/>
        <n v="2509"/>
        <n v="2201"/>
        <n v="2831"/>
        <n v="3167"/>
        <n v="3176"/>
        <n v="15486"/>
        <n v="16620"/>
        <n v="20111"/>
        <n v="22866"/>
        <n v="24553"/>
        <n v="23460"/>
        <n v="24314"/>
        <n v="27166"/>
        <n v="28758"/>
        <n v="34335"/>
        <n v="4577"/>
        <n v="5418"/>
        <n v="7157"/>
        <n v="6596"/>
        <n v="5947"/>
        <n v="8688"/>
        <n v="9528"/>
        <n v="10947"/>
        <n v="15589"/>
        <n v="18141"/>
        <n v="511"/>
        <n v="588"/>
        <n v="530"/>
        <n v="619"/>
        <n v="816"/>
        <n v="1109"/>
        <n v="1623"/>
        <n v="1968"/>
        <n v="2262"/>
        <n v="2667"/>
        <n v="3057"/>
        <n v="2689"/>
        <n v="2944"/>
        <n v="2965"/>
        <n v="2352"/>
        <n v="2575"/>
        <n v="3130"/>
        <n v="3022"/>
        <n v="3472"/>
        <n v="457"/>
        <n v="3163"/>
        <n v="1558"/>
        <n v="1453"/>
        <n v="2178"/>
        <n v="905"/>
        <n v="2285"/>
        <n v="1727"/>
        <n v="2972"/>
        <n v="3775"/>
      </sharedItems>
    </cacheField>
    <cacheField name="Net_Profit" numFmtId="0">
      <sharedItems containsString="0" containsBlank="1" containsNumber="1" containsInteger="1" minValue="-3749" maxValue="80523"/>
    </cacheField>
    <cacheField name="Debt" numFmtId="0">
      <sharedItems containsString="0" containsBlank="1" containsNumber="1" containsInteger="1" minValue="0" maxValue="730615"/>
    </cacheField>
    <cacheField name="Equity" numFmtId="0">
      <sharedItems containsString="0" containsBlank="1" containsNumber="1" containsInteger="1" minValue="-3559" maxValue="521789"/>
    </cacheField>
    <cacheField name="Total_Assets" numFmtId="0">
      <sharedItems containsString="0" containsBlank="1" containsNumber="1" containsInteger="1" minValue="3494" maxValue="7313730"/>
    </cacheField>
    <cacheField name="Total_Liabilities" numFmtId="0">
      <sharedItems containsString="0" containsBlank="1" containsNumber="1" containsInteger="1" minValue="3494" maxValue="7313730"/>
    </cacheField>
    <cacheField name="Debt_to_Equity" numFmtId="0" formula="Debt/Equity" databaseField="0"/>
  </cacheFields>
  <extLst>
    <ext xmlns:x14="http://schemas.microsoft.com/office/spreadsheetml/2009/9/main" uri="{725AE2AE-9491-48be-B2B4-4EB974FC3084}">
      <x14:pivotCacheDefinition pivotCacheId="656506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63162"/>
    <x v="0"/>
    <n v="12821"/>
    <n v="103714"/>
    <n v="74304"/>
    <n v="762212"/>
    <n v="762212"/>
  </r>
  <r>
    <x v="0"/>
    <x v="0"/>
    <x v="1"/>
    <n v="73271"/>
    <x v="0"/>
    <n v="15317"/>
    <n v="98416"/>
    <n v="91794"/>
    <n v="892344"/>
    <n v="892344"/>
  </r>
  <r>
    <x v="0"/>
    <x v="0"/>
    <x v="2"/>
    <n v="85288"/>
    <x v="0"/>
    <n v="18561"/>
    <n v="156442"/>
    <n v="109599"/>
    <n v="1103186"/>
    <n v="1103186"/>
  </r>
  <r>
    <x v="0"/>
    <x v="0"/>
    <x v="3"/>
    <n v="105161"/>
    <x v="0"/>
    <n v="22446"/>
    <n v="157733"/>
    <n v="153673"/>
    <n v="1292806"/>
    <n v="1292806"/>
  </r>
  <r>
    <x v="0"/>
    <x v="0"/>
    <x v="4"/>
    <n v="122189"/>
    <x v="0"/>
    <n v="27296"/>
    <n v="186834"/>
    <n v="176358"/>
    <n v="1580830"/>
    <n v="1580830"/>
  </r>
  <r>
    <x v="0"/>
    <x v="0"/>
    <x v="5"/>
    <n v="128552"/>
    <x v="0"/>
    <n v="31857"/>
    <n v="177697"/>
    <n v="209810"/>
    <n v="1799507"/>
    <n v="1799507"/>
  </r>
  <r>
    <x v="0"/>
    <x v="0"/>
    <x v="6"/>
    <n v="135936"/>
    <x v="0"/>
    <n v="38151"/>
    <n v="226966"/>
    <n v="247327"/>
    <n v="2122934"/>
    <n v="2122934"/>
  </r>
  <r>
    <x v="0"/>
    <x v="0"/>
    <x v="7"/>
    <n v="170754"/>
    <x v="0"/>
    <n v="46149"/>
    <n v="256549"/>
    <n v="289438"/>
    <n v="2530432"/>
    <n v="2530432"/>
  </r>
  <r>
    <x v="0"/>
    <x v="0"/>
    <x v="8"/>
    <n v="283649"/>
    <x v="0"/>
    <n v="65446"/>
    <n v="730615"/>
    <n v="456396"/>
    <n v="4030194"/>
    <n v="4030194"/>
  </r>
  <r>
    <x v="0"/>
    <x v="0"/>
    <x v="9"/>
    <n v="336367"/>
    <x v="0"/>
    <n v="73440"/>
    <n v="634606"/>
    <n v="521789"/>
    <n v="4392110"/>
    <n v="4392110"/>
  </r>
  <r>
    <x v="1"/>
    <x v="0"/>
    <x v="0"/>
    <n v="59294"/>
    <x v="0"/>
    <n v="10927"/>
    <n v="189054"/>
    <n v="94111"/>
    <n v="918756"/>
    <n v="918756"/>
  </r>
  <r>
    <x v="1"/>
    <x v="0"/>
    <x v="1"/>
    <n v="60940"/>
    <x v="0"/>
    <n v="11340"/>
    <n v="170670"/>
    <n v="104632"/>
    <n v="985725"/>
    <n v="985725"/>
  </r>
  <r>
    <x v="1"/>
    <x v="0"/>
    <x v="2"/>
    <n v="62162"/>
    <x v="0"/>
    <n v="9100"/>
    <n v="229402"/>
    <n v="110630"/>
    <n v="1124281"/>
    <n v="1124281"/>
  </r>
  <r>
    <x v="1"/>
    <x v="0"/>
    <x v="3"/>
    <n v="71982"/>
    <x v="0"/>
    <n v="5689"/>
    <n v="210324"/>
    <n v="114253"/>
    <n v="1238794"/>
    <n v="1238794"/>
  </r>
  <r>
    <x v="1"/>
    <x v="0"/>
    <x v="4"/>
    <n v="84836"/>
    <x v="0"/>
    <n v="11225"/>
    <n v="213852"/>
    <n v="122960"/>
    <n v="1377292"/>
    <n v="1377292"/>
  </r>
  <r>
    <x v="1"/>
    <x v="0"/>
    <x v="5"/>
    <n v="89163"/>
    <x v="0"/>
    <n v="20364"/>
    <n v="143900"/>
    <n v="157587"/>
    <n v="1573812"/>
    <n v="1573812"/>
  </r>
  <r>
    <x v="1"/>
    <x v="0"/>
    <x v="6"/>
    <n v="95407"/>
    <x v="0"/>
    <n v="26538"/>
    <n v="161603"/>
    <n v="182053"/>
    <n v="1752637"/>
    <n v="1752637"/>
  </r>
  <r>
    <x v="1"/>
    <x v="0"/>
    <x v="7"/>
    <n v="121067"/>
    <x v="0"/>
    <n v="35461"/>
    <n v="189062"/>
    <n v="214498"/>
    <n v="1958490"/>
    <n v="1958490"/>
  </r>
  <r>
    <x v="1"/>
    <x v="0"/>
    <x v="8"/>
    <n v="159516"/>
    <x v="0"/>
    <n v="46081"/>
    <n v="207428"/>
    <n v="256144"/>
    <n v="2364063"/>
    <n v="2364063"/>
  </r>
  <r>
    <x v="1"/>
    <x v="0"/>
    <x v="9"/>
    <n v="186331"/>
    <x v="0"/>
    <n v="54569"/>
    <n v="218883"/>
    <n v="313906"/>
    <n v="2642241"/>
    <n v="2642241"/>
  </r>
  <r>
    <x v="2"/>
    <x v="0"/>
    <x v="0"/>
    <n v="220633"/>
    <x v="0"/>
    <n v="13019"/>
    <n v="361399"/>
    <n v="180592"/>
    <n v="3072321"/>
    <n v="3072321"/>
  </r>
  <r>
    <x v="2"/>
    <x v="0"/>
    <x v="1"/>
    <n v="230447"/>
    <x v="0"/>
    <n v="-97"/>
    <n v="336366"/>
    <n v="217192"/>
    <n v="3441760"/>
    <n v="3441760"/>
  </r>
  <r>
    <x v="2"/>
    <x v="0"/>
    <x v="2"/>
    <n v="228970"/>
    <x v="0"/>
    <n v="-3749"/>
    <n v="369079"/>
    <n v="230321"/>
    <n v="3616439"/>
    <n v="3616439"/>
  </r>
  <r>
    <x v="2"/>
    <x v="0"/>
    <x v="3"/>
    <n v="253322"/>
    <x v="0"/>
    <n v="3351"/>
    <n v="413748"/>
    <n v="234495"/>
    <n v="3888460"/>
    <n v="3888460"/>
  </r>
  <r>
    <x v="2"/>
    <x v="0"/>
    <x v="4"/>
    <n v="269852"/>
    <x v="0"/>
    <n v="21140"/>
    <n v="332901"/>
    <n v="251060"/>
    <n v="4197486"/>
    <n v="4197486"/>
  </r>
  <r>
    <x v="2"/>
    <x v="0"/>
    <x v="5"/>
    <n v="278115"/>
    <x v="0"/>
    <n v="23888"/>
    <n v="433796"/>
    <n v="275561"/>
    <n v="4845615"/>
    <n v="4845615"/>
  </r>
  <r>
    <x v="2"/>
    <x v="0"/>
    <x v="6"/>
    <n v="289973"/>
    <x v="0"/>
    <n v="37183"/>
    <n v="449160"/>
    <n v="305588"/>
    <n v="5360878"/>
    <n v="5360878"/>
  </r>
  <r>
    <x v="2"/>
    <x v="0"/>
    <x v="7"/>
    <n v="350845"/>
    <x v="0"/>
    <n v="57750"/>
    <n v="521152"/>
    <n v="358931"/>
    <n v="5954415"/>
    <n v="5954415"/>
  </r>
  <r>
    <x v="2"/>
    <x v="0"/>
    <x v="8"/>
    <n v="439189"/>
    <x v="0"/>
    <n v="69543"/>
    <n v="639610"/>
    <n v="414939"/>
    <n v="6733756"/>
    <n v="6733756"/>
  </r>
  <r>
    <x v="2"/>
    <x v="0"/>
    <x v="9"/>
    <n v="490938"/>
    <x v="0"/>
    <n v="80523"/>
    <n v="610857"/>
    <n v="487036"/>
    <n v="7313730"/>
    <n v="7313730"/>
  </r>
  <r>
    <x v="3"/>
    <x v="0"/>
    <x v="0"/>
    <n v="41409"/>
    <x v="0"/>
    <n v="8358"/>
    <n v="113848"/>
    <n v="53559"/>
    <n v="546387"/>
    <n v="546387"/>
  </r>
  <r>
    <x v="3"/>
    <x v="0"/>
    <x v="1"/>
    <n v="45175"/>
    <x v="0"/>
    <n v="3967"/>
    <n v="112455"/>
    <n v="56380"/>
    <n v="611462"/>
    <n v="611462"/>
  </r>
  <r>
    <x v="3"/>
    <x v="0"/>
    <x v="2"/>
    <n v="46614"/>
    <x v="0"/>
    <n v="464"/>
    <n v="155767"/>
    <n v="64207"/>
    <n v="703703"/>
    <n v="703703"/>
  </r>
  <r>
    <x v="3"/>
    <x v="0"/>
    <x v="3"/>
    <n v="56044"/>
    <x v="0"/>
    <n v="5047"/>
    <n v="161250"/>
    <n v="67802"/>
    <n v="814046"/>
    <n v="814046"/>
  </r>
  <r>
    <x v="3"/>
    <x v="0"/>
    <x v="4"/>
    <n v="63716"/>
    <x v="0"/>
    <n v="1879"/>
    <n v="155180"/>
    <n v="86340"/>
    <n v="927872"/>
    <n v="927872"/>
  </r>
  <r>
    <x v="3"/>
    <x v="0"/>
    <x v="5"/>
    <n v="64397"/>
    <x v="0"/>
    <n v="7252"/>
    <n v="152249"/>
    <n v="103594"/>
    <n v="1001005"/>
    <n v="1001005"/>
  </r>
  <r>
    <x v="3"/>
    <x v="0"/>
    <x v="6"/>
    <n v="68846"/>
    <x v="0"/>
    <n v="14207"/>
    <n v="199778"/>
    <n v="118261"/>
    <n v="1195779"/>
    <n v="1195779"/>
  </r>
  <r>
    <x v="3"/>
    <x v="0"/>
    <x v="7"/>
    <n v="87448"/>
    <x v="0"/>
    <n v="10919"/>
    <n v="206214"/>
    <n v="129781"/>
    <n v="1344418"/>
    <n v="1344418"/>
  </r>
  <r>
    <x v="3"/>
    <x v="0"/>
    <x v="8"/>
    <n v="112759"/>
    <x v="0"/>
    <n v="26492"/>
    <n v="228200"/>
    <n v="157023"/>
    <n v="1518239"/>
    <n v="1518239"/>
  </r>
  <r>
    <x v="3"/>
    <x v="0"/>
    <x v="9"/>
    <n v="127374"/>
    <x v="0"/>
    <n v="28191"/>
    <n v="220687"/>
    <n v="187235"/>
    <n v="1656963"/>
    <n v="1656963"/>
  </r>
  <r>
    <x v="4"/>
    <x v="0"/>
    <x v="0"/>
    <n v="20402"/>
    <x v="0"/>
    <n v="3524"/>
    <n v="43730"/>
    <n v="33364"/>
    <n v="240804"/>
    <n v="240804"/>
  </r>
  <r>
    <x v="4"/>
    <x v="0"/>
    <x v="1"/>
    <n v="22324"/>
    <x v="0"/>
    <n v="5019"/>
    <n v="49690"/>
    <n v="38492"/>
    <n v="276188"/>
    <n v="276188"/>
  </r>
  <r>
    <x v="4"/>
    <x v="0"/>
    <x v="2"/>
    <n v="25131"/>
    <x v="0"/>
    <n v="6258"/>
    <n v="58604"/>
    <n v="50488"/>
    <n v="337720"/>
    <n v="337720"/>
  </r>
  <r>
    <x v="4"/>
    <x v="0"/>
    <x v="3"/>
    <n v="29831"/>
    <x v="0"/>
    <n v="7204"/>
    <n v="66939"/>
    <n v="57781"/>
    <n v="395171"/>
    <n v="395171"/>
  </r>
  <r>
    <x v="4"/>
    <x v="0"/>
    <x v="4"/>
    <n v="33474"/>
    <x v="0"/>
    <n v="8593"/>
    <n v="66077"/>
    <n v="66637"/>
    <n v="443173"/>
    <n v="443173"/>
  </r>
  <r>
    <x v="4"/>
    <x v="0"/>
    <x v="5"/>
    <n v="32820"/>
    <x v="0"/>
    <n v="9990"/>
    <n v="48239"/>
    <n v="84339"/>
    <n v="478854"/>
    <n v="478854"/>
  </r>
  <r>
    <x v="4"/>
    <x v="0"/>
    <x v="6"/>
    <n v="33741"/>
    <x v="0"/>
    <n v="12089"/>
    <n v="55660"/>
    <n v="96665"/>
    <n v="546498"/>
    <n v="546498"/>
  </r>
  <r>
    <x v="4"/>
    <x v="0"/>
    <x v="7"/>
    <n v="42151"/>
    <x v="0"/>
    <n v="14925"/>
    <n v="57534"/>
    <n v="111814"/>
    <n v="620430"/>
    <n v="620430"/>
  </r>
  <r>
    <x v="4"/>
    <x v="0"/>
    <x v="8"/>
    <n v="56237"/>
    <x v="0"/>
    <n v="18213"/>
    <n v="75106"/>
    <n v="129972"/>
    <n v="767667"/>
    <n v="767667"/>
  </r>
  <r>
    <x v="4"/>
    <x v="0"/>
    <x v="9"/>
    <n v="65669"/>
    <x v="0"/>
    <n v="22126"/>
    <n v="97622"/>
    <n v="157489"/>
    <n v="879774"/>
    <n v="879774"/>
  </r>
  <r>
    <x v="5"/>
    <x v="1"/>
    <x v="0"/>
    <n v="108646"/>
    <x v="1"/>
    <n v="24338"/>
    <n v="245"/>
    <n v="70875"/>
    <n v="88291"/>
    <n v="88291"/>
  </r>
  <r>
    <x v="5"/>
    <x v="1"/>
    <x v="1"/>
    <n v="117966"/>
    <x v="2"/>
    <n v="26357"/>
    <n v="289"/>
    <n v="86017"/>
    <n v="102333"/>
    <n v="102333"/>
  </r>
  <r>
    <x v="5"/>
    <x v="1"/>
    <x v="2"/>
    <n v="123104"/>
    <x v="3"/>
    <n v="25880"/>
    <n v="247"/>
    <n v="84937"/>
    <n v="105126"/>
    <n v="105126"/>
  </r>
  <r>
    <x v="5"/>
    <x v="1"/>
    <x v="3"/>
    <n v="146463"/>
    <x v="4"/>
    <n v="31562"/>
    <n v="62"/>
    <n v="89071"/>
    <n v="113901"/>
    <n v="113901"/>
  </r>
  <r>
    <x v="5"/>
    <x v="1"/>
    <x v="4"/>
    <n v="156949"/>
    <x v="5"/>
    <n v="32447"/>
    <n v="8174"/>
    <n v="83751"/>
    <n v="120127"/>
    <n v="120127"/>
  </r>
  <r>
    <x v="5"/>
    <x v="1"/>
    <x v="5"/>
    <n v="164177"/>
    <x v="6"/>
    <n v="32562"/>
    <n v="7795"/>
    <n v="86063"/>
    <n v="129992"/>
    <n v="129992"/>
  </r>
  <r>
    <x v="5"/>
    <x v="1"/>
    <x v="6"/>
    <n v="191754"/>
    <x v="7"/>
    <n v="38449"/>
    <n v="7818"/>
    <n v="88773"/>
    <n v="140924"/>
    <n v="140924"/>
  </r>
  <r>
    <x v="5"/>
    <x v="1"/>
    <x v="7"/>
    <n v="225458"/>
    <x v="8"/>
    <n v="42303"/>
    <n v="7688"/>
    <n v="90058"/>
    <n v="142859"/>
    <n v="142859"/>
  </r>
  <r>
    <x v="5"/>
    <x v="1"/>
    <x v="8"/>
    <n v="240893"/>
    <x v="9"/>
    <n v="46099"/>
    <n v="8021"/>
    <n v="90127"/>
    <n v="145472"/>
    <n v="145472"/>
  </r>
  <r>
    <x v="5"/>
    <x v="1"/>
    <x v="9"/>
    <n v="255324"/>
    <x v="10"/>
    <n v="48797"/>
    <n v="9392"/>
    <n v="94394"/>
    <n v="158649"/>
    <n v="158649"/>
  </r>
  <r>
    <x v="6"/>
    <x v="1"/>
    <x v="0"/>
    <n v="53319"/>
    <x v="11"/>
    <n v="12372"/>
    <n v="0"/>
    <n v="50164"/>
    <n v="66289"/>
    <n v="66289"/>
  </r>
  <r>
    <x v="6"/>
    <x v="1"/>
    <x v="1"/>
    <n v="62441"/>
    <x v="12"/>
    <n v="13489"/>
    <n v="0"/>
    <n v="60600"/>
    <n v="75098"/>
    <n v="75098"/>
  </r>
  <r>
    <x v="6"/>
    <x v="1"/>
    <x v="2"/>
    <n v="68484"/>
    <x v="13"/>
    <n v="14353"/>
    <n v="0"/>
    <n v="67838"/>
    <n v="83148"/>
    <n v="83148"/>
  </r>
  <r>
    <x v="6"/>
    <x v="1"/>
    <x v="3"/>
    <n v="70522"/>
    <x v="14"/>
    <n v="16029"/>
    <n v="0"/>
    <n v="63835"/>
    <n v="79349"/>
    <n v="79349"/>
  </r>
  <r>
    <x v="6"/>
    <x v="1"/>
    <x v="4"/>
    <n v="82675"/>
    <x v="15"/>
    <n v="15410"/>
    <n v="0"/>
    <n v="62778"/>
    <n v="84066"/>
    <n v="84066"/>
  </r>
  <r>
    <x v="6"/>
    <x v="1"/>
    <x v="5"/>
    <n v="90791"/>
    <x v="16"/>
    <n v="16639"/>
    <n v="4633"/>
    <n v="63328"/>
    <n v="91800"/>
    <n v="91800"/>
  </r>
  <r>
    <x v="6"/>
    <x v="1"/>
    <x v="6"/>
    <n v="100472"/>
    <x v="17"/>
    <n v="19423"/>
    <n v="5325"/>
    <n v="74227"/>
    <n v="107511"/>
    <n v="107511"/>
  </r>
  <r>
    <x v="6"/>
    <x v="1"/>
    <x v="7"/>
    <n v="121641"/>
    <x v="18"/>
    <n v="22146"/>
    <n v="5474"/>
    <n v="73252"/>
    <n v="116729"/>
    <n v="116729"/>
  </r>
  <r>
    <x v="6"/>
    <x v="1"/>
    <x v="8"/>
    <n v="146767"/>
    <x v="19"/>
    <n v="24108"/>
    <n v="8299"/>
    <n v="73338"/>
    <n v="124596"/>
    <n v="124596"/>
  </r>
  <r>
    <x v="6"/>
    <x v="1"/>
    <x v="9"/>
    <n v="162990"/>
    <x v="20"/>
    <n v="26750"/>
    <n v="8227"/>
    <n v="93745"/>
    <n v="147795"/>
    <n v="147795"/>
  </r>
  <r>
    <x v="7"/>
    <x v="1"/>
    <x v="0"/>
    <n v="51244"/>
    <x v="21"/>
    <n v="8957"/>
    <n v="558"/>
    <n v="45651"/>
    <n v="71590"/>
    <n v="71590"/>
  </r>
  <r>
    <x v="7"/>
    <x v="1"/>
    <x v="1"/>
    <n v="55448"/>
    <x v="22"/>
    <n v="8518"/>
    <n v="594"/>
    <n v="51184"/>
    <n v="78672"/>
    <n v="78672"/>
  </r>
  <r>
    <x v="7"/>
    <x v="1"/>
    <x v="2"/>
    <n v="54487"/>
    <x v="23"/>
    <n v="8003"/>
    <n v="583"/>
    <n v="47022"/>
    <n v="75391"/>
    <n v="75391"/>
  </r>
  <r>
    <x v="7"/>
    <x v="1"/>
    <x v="3"/>
    <n v="59019"/>
    <x v="24"/>
    <n v="9018"/>
    <n v="738"/>
    <n v="55216"/>
    <n v="82586"/>
    <n v="82586"/>
  </r>
  <r>
    <x v="7"/>
    <x v="1"/>
    <x v="4"/>
    <n v="61138"/>
    <x v="25"/>
    <n v="9772"/>
    <n v="733"/>
    <n v="54179"/>
    <n v="81000"/>
    <n v="81000"/>
  </r>
  <r>
    <x v="7"/>
    <x v="1"/>
    <x v="5"/>
    <n v="61935"/>
    <x v="26"/>
    <n v="10868"/>
    <n v="509"/>
    <n v="53805"/>
    <n v="82566"/>
    <n v="82566"/>
  </r>
  <r>
    <x v="7"/>
    <x v="1"/>
    <x v="6"/>
    <n v="79312"/>
    <x v="27"/>
    <n v="12243"/>
    <n v="532"/>
    <n v="64307"/>
    <n v="107276"/>
    <n v="107276"/>
  </r>
  <r>
    <x v="7"/>
    <x v="1"/>
    <x v="7"/>
    <n v="90488"/>
    <x v="28"/>
    <n v="11366"/>
    <n v="1008"/>
    <n v="76570"/>
    <n v="116924"/>
    <n v="116924"/>
  </r>
  <r>
    <x v="7"/>
    <x v="1"/>
    <x v="8"/>
    <n v="89760"/>
    <x v="29"/>
    <n v="11112"/>
    <n v="1255"/>
    <n v="73943"/>
    <n v="115064"/>
    <n v="115064"/>
  </r>
  <r>
    <x v="7"/>
    <x v="1"/>
    <x v="9"/>
    <n v="89088"/>
    <x v="30"/>
    <n v="13218"/>
    <n v="1477"/>
    <n v="80736"/>
    <n v="128396"/>
    <n v="128396"/>
  </r>
  <r>
    <x v="8"/>
    <x v="1"/>
    <x v="0"/>
    <n v="31136"/>
    <x v="31"/>
    <n v="5602"/>
    <n v="1090"/>
    <n v="27109"/>
    <n v="39341"/>
    <n v="39341"/>
  </r>
  <r>
    <x v="8"/>
    <x v="1"/>
    <x v="1"/>
    <n v="47568"/>
    <x v="32"/>
    <n v="8606"/>
    <n v="582"/>
    <n v="32664"/>
    <n v="45762"/>
    <n v="45762"/>
  </r>
  <r>
    <x v="8"/>
    <x v="1"/>
    <x v="2"/>
    <n v="50569"/>
    <x v="33"/>
    <n v="8722"/>
    <n v="557"/>
    <n v="36108"/>
    <n v="47989"/>
    <n v="47989"/>
  </r>
  <r>
    <x v="8"/>
    <x v="1"/>
    <x v="3"/>
    <n v="60427"/>
    <x v="34"/>
    <n v="10120"/>
    <n v="4195"/>
    <n v="41095"/>
    <n v="58349"/>
    <n v="58349"/>
  </r>
  <r>
    <x v="8"/>
    <x v="1"/>
    <x v="4"/>
    <n v="70676"/>
    <x v="35"/>
    <n v="11057"/>
    <n v="7986"/>
    <n v="50724"/>
    <n v="82819"/>
    <n v="82819"/>
  </r>
  <r>
    <x v="8"/>
    <x v="1"/>
    <x v="5"/>
    <n v="75379"/>
    <x v="36"/>
    <n v="11169"/>
    <n v="6864"/>
    <n v="59370"/>
    <n v="86047"/>
    <n v="86047"/>
  </r>
  <r>
    <x v="8"/>
    <x v="1"/>
    <x v="6"/>
    <n v="85651"/>
    <x v="37"/>
    <n v="13523"/>
    <n v="6343"/>
    <n v="61371"/>
    <n v="88921"/>
    <n v="88921"/>
  </r>
  <r>
    <x v="8"/>
    <x v="1"/>
    <x v="7"/>
    <n v="101456"/>
    <x v="38"/>
    <n v="14845"/>
    <n v="4794"/>
    <n v="64862"/>
    <n v="93250"/>
    <n v="93250"/>
  </r>
  <r>
    <x v="8"/>
    <x v="1"/>
    <x v="8"/>
    <n v="109913"/>
    <x v="39"/>
    <n v="15710"/>
    <n v="5758"/>
    <n v="67720"/>
    <n v="99006"/>
    <n v="99006"/>
  </r>
  <r>
    <x v="8"/>
    <x v="1"/>
    <x v="9"/>
    <n v="117055"/>
    <x v="40"/>
    <n v="17399"/>
    <n v="6276"/>
    <n v="69112"/>
    <n v="104480"/>
    <n v="104480"/>
  </r>
  <r>
    <x v="9"/>
    <x v="1"/>
    <x v="0"/>
    <n v="26494"/>
    <x v="41"/>
    <n v="3027"/>
    <n v="1091"/>
    <n v="14155"/>
    <n v="22525"/>
    <n v="22525"/>
  </r>
  <r>
    <x v="9"/>
    <x v="1"/>
    <x v="1"/>
    <n v="29141"/>
    <x v="42"/>
    <n v="2851"/>
    <n v="1366"/>
    <n v="15998"/>
    <n v="26057"/>
    <n v="26057"/>
  </r>
  <r>
    <x v="9"/>
    <x v="1"/>
    <x v="2"/>
    <n v="30773"/>
    <x v="43"/>
    <n v="3786"/>
    <n v="2397"/>
    <n v="18401"/>
    <n v="30431"/>
    <n v="30431"/>
  </r>
  <r>
    <x v="9"/>
    <x v="1"/>
    <x v="3"/>
    <n v="34742"/>
    <x v="44"/>
    <n v="4289"/>
    <n v="1996"/>
    <n v="19841"/>
    <n v="33446"/>
    <n v="33446"/>
  </r>
  <r>
    <x v="9"/>
    <x v="1"/>
    <x v="4"/>
    <n v="36868"/>
    <x v="45"/>
    <n v="3897"/>
    <n v="3670"/>
    <n v="21377"/>
    <n v="37318"/>
    <n v="37318"/>
  </r>
  <r>
    <x v="9"/>
    <x v="1"/>
    <x v="5"/>
    <n v="37855"/>
    <x v="46"/>
    <n v="4353"/>
    <n v="2901"/>
    <n v="24428"/>
    <n v="39602"/>
    <n v="39602"/>
  </r>
  <r>
    <x v="9"/>
    <x v="1"/>
    <x v="6"/>
    <n v="44646"/>
    <x v="47"/>
    <n v="5630"/>
    <n v="2618"/>
    <n v="26447"/>
    <n v="44416"/>
    <n v="44416"/>
  </r>
  <r>
    <x v="9"/>
    <x v="1"/>
    <x v="7"/>
    <n v="53290"/>
    <x v="48"/>
    <n v="4857"/>
    <n v="2740"/>
    <n v="27844"/>
    <n v="45827"/>
    <n v="45827"/>
  </r>
  <r>
    <x v="9"/>
    <x v="1"/>
    <x v="8"/>
    <n v="51996"/>
    <x v="49"/>
    <n v="2397"/>
    <n v="2537"/>
    <n v="26228"/>
    <n v="43149"/>
    <n v="43149"/>
  </r>
  <r>
    <x v="9"/>
    <x v="1"/>
    <x v="9"/>
    <n v="52988"/>
    <x v="50"/>
    <n v="4253"/>
    <n v="2025"/>
    <n v="26919"/>
    <n v="44267"/>
    <n v="44267"/>
  </r>
  <r>
    <x v="10"/>
    <x v="2"/>
    <x v="0"/>
    <n v="32186"/>
    <x v="51"/>
    <n v="4151"/>
    <n v="177"/>
    <n v="6357"/>
    <n v="14793"/>
    <n v="14793"/>
  </r>
  <r>
    <x v="10"/>
    <x v="2"/>
    <x v="1"/>
    <n v="33162"/>
    <x v="52"/>
    <n v="4490"/>
    <n v="277"/>
    <n v="6528"/>
    <n v="15706"/>
    <n v="15706"/>
  </r>
  <r>
    <x v="10"/>
    <x v="2"/>
    <x v="2"/>
    <n v="35545"/>
    <x v="53"/>
    <n v="5227"/>
    <n v="0"/>
    <n v="7065"/>
    <n v="17862"/>
    <n v="17862"/>
  </r>
  <r>
    <x v="10"/>
    <x v="2"/>
    <x v="3"/>
    <n v="39310"/>
    <x v="54"/>
    <n v="6060"/>
    <n v="99"/>
    <n v="7651"/>
    <n v="18629"/>
    <n v="18629"/>
  </r>
  <r>
    <x v="10"/>
    <x v="2"/>
    <x v="4"/>
    <n v="39783"/>
    <x v="55"/>
    <n v="6756"/>
    <n v="0"/>
    <n v="8013"/>
    <n v="20153"/>
    <n v="20153"/>
  </r>
  <r>
    <x v="10"/>
    <x v="2"/>
    <x v="5"/>
    <n v="47028"/>
    <x v="56"/>
    <n v="7999"/>
    <n v="0"/>
    <n v="47439"/>
    <n v="68740"/>
    <n v="68740"/>
  </r>
  <r>
    <x v="10"/>
    <x v="2"/>
    <x v="6"/>
    <n v="52446"/>
    <x v="57"/>
    <n v="8892"/>
    <n v="1043"/>
    <n v="48826"/>
    <n v="70506"/>
    <n v="70506"/>
  </r>
  <r>
    <x v="10"/>
    <x v="2"/>
    <x v="7"/>
    <n v="60580"/>
    <x v="58"/>
    <n v="10143"/>
    <n v="1219"/>
    <n v="50069"/>
    <n v="73077"/>
    <n v="73077"/>
  </r>
  <r>
    <x v="10"/>
    <x v="2"/>
    <x v="8"/>
    <n v="61896"/>
    <x v="59"/>
    <n v="10282"/>
    <n v="1484"/>
    <n v="50983"/>
    <n v="78489"/>
    <n v="78489"/>
  </r>
  <r>
    <x v="10"/>
    <x v="2"/>
    <x v="9"/>
    <n v="63121"/>
    <x v="60"/>
    <n v="10671"/>
    <n v="1648"/>
    <n v="49167"/>
    <n v="79863"/>
    <n v="79863"/>
  </r>
  <r>
    <x v="11"/>
    <x v="2"/>
    <x v="0"/>
    <n v="39192"/>
    <x v="61"/>
    <n v="9501"/>
    <n v="84"/>
    <n v="41875"/>
    <n v="51651"/>
    <n v="51651"/>
  </r>
  <r>
    <x v="11"/>
    <x v="2"/>
    <x v="1"/>
    <n v="42768"/>
    <x v="62"/>
    <n v="10477"/>
    <n v="46"/>
    <n v="45198"/>
    <n v="55898"/>
    <n v="55898"/>
  </r>
  <r>
    <x v="11"/>
    <x v="2"/>
    <x v="2"/>
    <n v="43449"/>
    <x v="63"/>
    <n v="11493"/>
    <n v="36"/>
    <n v="51290"/>
    <n v="64241"/>
    <n v="64241"/>
  </r>
  <r>
    <x v="11"/>
    <x v="2"/>
    <x v="3"/>
    <n v="48340"/>
    <x v="64"/>
    <n v="12836"/>
    <n v="13"/>
    <n v="57915"/>
    <n v="71739"/>
    <n v="71739"/>
  </r>
  <r>
    <x v="11"/>
    <x v="2"/>
    <x v="4"/>
    <n v="49388"/>
    <x v="65"/>
    <n v="15593"/>
    <n v="277"/>
    <n v="64044"/>
    <n v="77311"/>
    <n v="77311"/>
  </r>
  <r>
    <x v="11"/>
    <x v="2"/>
    <x v="5"/>
    <n v="49257"/>
    <x v="66"/>
    <n v="13383"/>
    <n v="271"/>
    <n v="59116"/>
    <n v="73761"/>
    <n v="73761"/>
  </r>
  <r>
    <x v="11"/>
    <x v="2"/>
    <x v="6"/>
    <n v="60645"/>
    <x v="67"/>
    <n v="15503"/>
    <n v="249"/>
    <n v="61223"/>
    <n v="77196"/>
    <n v="77196"/>
  </r>
  <r>
    <x v="11"/>
    <x v="2"/>
    <x v="7"/>
    <n v="70919"/>
    <x v="68"/>
    <n v="19477"/>
    <n v="306"/>
    <n v="67912"/>
    <n v="85831"/>
    <n v="85831"/>
  </r>
  <r>
    <x v="11"/>
    <x v="2"/>
    <x v="8"/>
    <n v="67932"/>
    <x v="69"/>
    <n v="20751"/>
    <n v="303"/>
    <n v="73259"/>
    <n v="91754"/>
    <n v="91754"/>
  </r>
  <r>
    <x v="11"/>
    <x v="2"/>
    <x v="9"/>
    <n v="75323"/>
    <x v="70"/>
    <n v="35052"/>
    <n v="285"/>
    <n v="68779"/>
    <n v="88003"/>
    <n v="88003"/>
  </r>
  <r>
    <x v="12"/>
    <x v="2"/>
    <x v="0"/>
    <n v="9141"/>
    <x v="71"/>
    <n v="1001"/>
    <n v="33"/>
    <n v="3186"/>
    <n v="6810"/>
    <n v="6810"/>
  </r>
  <r>
    <x v="12"/>
    <x v="2"/>
    <x v="1"/>
    <n v="10010"/>
    <x v="72"/>
    <n v="1225"/>
    <n v="35"/>
    <n v="3324"/>
    <n v="7363"/>
    <n v="7363"/>
  </r>
  <r>
    <x v="12"/>
    <x v="2"/>
    <x v="2"/>
    <n v="11292"/>
    <x v="73"/>
    <n v="1607"/>
    <n v="35"/>
    <n v="3577"/>
    <n v="8088"/>
    <n v="8088"/>
  </r>
  <r>
    <x v="12"/>
    <x v="2"/>
    <x v="3"/>
    <n v="12369"/>
    <x v="74"/>
    <n v="1968"/>
    <n v="189"/>
    <n v="1822"/>
    <n v="7173"/>
    <n v="7173"/>
  </r>
  <r>
    <x v="12"/>
    <x v="2"/>
    <x v="4"/>
    <n v="13350"/>
    <x v="75"/>
    <n v="2082"/>
    <n v="147"/>
    <n v="1923"/>
    <n v="7900"/>
    <n v="7900"/>
  </r>
  <r>
    <x v="12"/>
    <x v="2"/>
    <x v="5"/>
    <n v="14741"/>
    <x v="76"/>
    <n v="2118"/>
    <n v="266"/>
    <n v="1850"/>
    <n v="8234"/>
    <n v="8234"/>
  </r>
  <r>
    <x v="12"/>
    <x v="2"/>
    <x v="6"/>
    <n v="16897"/>
    <x v="77"/>
    <n v="2391"/>
    <n v="271"/>
    <n v="2363"/>
    <n v="8979"/>
    <n v="8979"/>
  </r>
  <r>
    <x v="12"/>
    <x v="2"/>
    <x v="7"/>
    <n v="19126"/>
    <x v="78"/>
    <n v="2999"/>
    <n v="271"/>
    <n v="2363"/>
    <n v="8979"/>
    <n v="8979"/>
  </r>
  <r>
    <x v="12"/>
    <x v="2"/>
    <x v="8"/>
    <n v="24394"/>
    <x v="79"/>
    <n v="3933"/>
    <n v="345"/>
    <n v="3244"/>
    <n v="10523"/>
    <n v="10523"/>
  </r>
  <r>
    <x v="12"/>
    <x v="2"/>
    <x v="9"/>
    <n v="20202"/>
    <x v="80"/>
    <n v="3314"/>
    <n v="1167"/>
    <n v="4021"/>
    <n v="12324"/>
    <n v="12324"/>
  </r>
  <r>
    <x v="13"/>
    <x v="2"/>
    <x v="0"/>
    <n v="7780"/>
    <x v="81"/>
    <n v="1254"/>
    <n v="805"/>
    <n v="3995"/>
    <n v="6932"/>
    <n v="6932"/>
  </r>
  <r>
    <x v="13"/>
    <x v="2"/>
    <x v="1"/>
    <n v="7614"/>
    <x v="82"/>
    <n v="1280"/>
    <n v="975"/>
    <n v="4671"/>
    <n v="7732"/>
    <n v="7732"/>
  </r>
  <r>
    <x v="13"/>
    <x v="2"/>
    <x v="2"/>
    <n v="7722"/>
    <x v="83"/>
    <n v="1358"/>
    <n v="938"/>
    <n v="5530"/>
    <n v="8702"/>
    <n v="8702"/>
  </r>
  <r>
    <x v="13"/>
    <x v="2"/>
    <x v="3"/>
    <n v="8515"/>
    <x v="84"/>
    <n v="1446"/>
    <n v="699"/>
    <n v="5455"/>
    <n v="8437"/>
    <n v="8437"/>
  </r>
  <r>
    <x v="13"/>
    <x v="2"/>
    <x v="4"/>
    <n v="8685"/>
    <x v="85"/>
    <n v="1448"/>
    <n v="522"/>
    <n v="6429"/>
    <n v="9337"/>
    <n v="9337"/>
  </r>
  <r>
    <x v="13"/>
    <x v="2"/>
    <x v="5"/>
    <n v="9562"/>
    <x v="86"/>
    <n v="1695"/>
    <n v="509"/>
    <n v="7487"/>
    <n v="10833"/>
    <n v="10833"/>
  </r>
  <r>
    <x v="13"/>
    <x v="2"/>
    <x v="6"/>
    <n v="10889"/>
    <x v="87"/>
    <n v="1742"/>
    <n v="1030"/>
    <n v="8205"/>
    <n v="12284"/>
    <n v="12284"/>
  </r>
  <r>
    <x v="13"/>
    <x v="2"/>
    <x v="7"/>
    <n v="11530"/>
    <x v="88"/>
    <n v="1701"/>
    <n v="1174"/>
    <n v="8796"/>
    <n v="13652"/>
    <n v="13652"/>
  </r>
  <r>
    <x v="13"/>
    <x v="2"/>
    <x v="8"/>
    <n v="12404"/>
    <x v="89"/>
    <n v="1811"/>
    <n v="1365"/>
    <n v="9689"/>
    <n v="15116"/>
    <n v="15116"/>
  </r>
  <r>
    <x v="13"/>
    <x v="2"/>
    <x v="9"/>
    <n v="12563"/>
    <x v="90"/>
    <n v="1740"/>
    <n v="950"/>
    <n v="10623"/>
    <n v="16230"/>
    <n v="16230"/>
  </r>
  <r>
    <x v="14"/>
    <x v="2"/>
    <x v="0"/>
    <n v="8397"/>
    <x v="91"/>
    <n v="825"/>
    <n v="131"/>
    <n v="2068"/>
    <n v="3494"/>
    <n v="3494"/>
  </r>
  <r>
    <x v="14"/>
    <x v="2"/>
    <x v="1"/>
    <n v="9054"/>
    <x v="92"/>
    <n v="885"/>
    <n v="125"/>
    <n v="2672"/>
    <n v="4109"/>
    <n v="4109"/>
  </r>
  <r>
    <x v="14"/>
    <x v="2"/>
    <x v="2"/>
    <n v="9914"/>
    <x v="93"/>
    <n v="1004"/>
    <n v="201"/>
    <n v="3382"/>
    <n v="5188"/>
    <n v="5188"/>
  </r>
  <r>
    <x v="14"/>
    <x v="2"/>
    <x v="3"/>
    <n v="11055"/>
    <x v="94"/>
    <n v="1155"/>
    <n v="156"/>
    <n v="4229"/>
    <n v="6238"/>
    <n v="6238"/>
  </r>
  <r>
    <x v="14"/>
    <x v="2"/>
    <x v="4"/>
    <n v="11600"/>
    <x v="95"/>
    <n v="1394"/>
    <n v="1538"/>
    <n v="4379"/>
    <n v="7830"/>
    <n v="7830"/>
  </r>
  <r>
    <x v="14"/>
    <x v="2"/>
    <x v="5"/>
    <n v="13136"/>
    <x v="96"/>
    <n v="1851"/>
    <n v="2122"/>
    <n v="3524"/>
    <n v="8000"/>
    <n v="8000"/>
  </r>
  <r>
    <x v="14"/>
    <x v="2"/>
    <x v="6"/>
    <n v="14136"/>
    <x v="97"/>
    <n v="1516"/>
    <n v="2481"/>
    <n v="2534"/>
    <n v="7527"/>
    <n v="7527"/>
  </r>
  <r>
    <x v="14"/>
    <x v="2"/>
    <x v="7"/>
    <n v="16301"/>
    <x v="98"/>
    <n v="2316"/>
    <n v="2997"/>
    <n v="3510"/>
    <n v="9351"/>
    <n v="9351"/>
  </r>
  <r>
    <x v="14"/>
    <x v="2"/>
    <x v="8"/>
    <n v="16769"/>
    <x v="99"/>
    <n v="2134"/>
    <n v="2065"/>
    <n v="3917"/>
    <n v="9072"/>
    <n v="9072"/>
  </r>
  <r>
    <x v="14"/>
    <x v="2"/>
    <x v="9"/>
    <n v="17943"/>
    <x v="100"/>
    <n v="2178"/>
    <n v="1247"/>
    <n v="4332"/>
    <n v="8837"/>
    <n v="8837"/>
  </r>
  <r>
    <x v="15"/>
    <x v="3"/>
    <x v="0"/>
    <n v="101122"/>
    <x v="101"/>
    <n v="4592"/>
    <n v="88135"/>
    <n v="43994"/>
    <n v="194091"/>
    <n v="194091"/>
  </r>
  <r>
    <x v="15"/>
    <x v="3"/>
    <x v="1"/>
    <n v="109312"/>
    <x v="102"/>
    <n v="6486"/>
    <n v="93954"/>
    <n v="50030"/>
    <n v="211571"/>
    <n v="211571"/>
  </r>
  <r>
    <x v="15"/>
    <x v="3"/>
    <x v="2"/>
    <n v="119683"/>
    <x v="103"/>
    <n v="8004"/>
    <n v="107524"/>
    <n v="54623"/>
    <n v="243240"/>
    <n v="243240"/>
  </r>
  <r>
    <x v="15"/>
    <x v="3"/>
    <x v="3"/>
    <n v="135220"/>
    <x v="104"/>
    <n v="10217"/>
    <n v="125555"/>
    <n v="62094"/>
    <n v="278036"/>
    <n v="278036"/>
  </r>
  <r>
    <x v="15"/>
    <x v="3"/>
    <x v="4"/>
    <n v="145452"/>
    <x v="105"/>
    <n v="10894"/>
    <n v="143174"/>
    <n v="66442"/>
    <n v="306687"/>
    <n v="306687"/>
  </r>
  <r>
    <x v="15"/>
    <x v="3"/>
    <x v="5"/>
    <n v="135979"/>
    <x v="106"/>
    <n v="12921"/>
    <n v="134629"/>
    <n v="75588"/>
    <n v="310095"/>
    <n v="310095"/>
  </r>
  <r>
    <x v="15"/>
    <x v="3"/>
    <x v="6"/>
    <n v="156521"/>
    <x v="107"/>
    <n v="10419"/>
    <n v="125508"/>
    <n v="82127"/>
    <n v="319028"/>
    <n v="319028"/>
  </r>
  <r>
    <x v="15"/>
    <x v="3"/>
    <x v="7"/>
    <n v="183341"/>
    <x v="108"/>
    <n v="12531"/>
    <n v="120650"/>
    <n v="89045"/>
    <n v="329722"/>
    <n v="329722"/>
  </r>
  <r>
    <x v="15"/>
    <x v="3"/>
    <x v="8"/>
    <n v="221113"/>
    <x v="109"/>
    <n v="15547"/>
    <n v="116322"/>
    <n v="86084"/>
    <n v="339602"/>
    <n v="339602"/>
  </r>
  <r>
    <x v="15"/>
    <x v="3"/>
    <x v="9"/>
    <n v="255734"/>
    <x v="110"/>
    <n v="17673"/>
    <n v="132409"/>
    <n v="97381"/>
    <n v="379114"/>
    <n v="379114"/>
  </r>
  <r>
    <x v="16"/>
    <x v="3"/>
    <x v="0"/>
    <n v="7109"/>
    <x v="111"/>
    <n v="2856"/>
    <n v="22342"/>
    <n v="13091"/>
    <n v="38385"/>
    <n v="38385"/>
  </r>
  <r>
    <x v="16"/>
    <x v="3"/>
    <x v="1"/>
    <n v="8439"/>
    <x v="112"/>
    <n v="3902"/>
    <n v="22214"/>
    <n v="17112"/>
    <n v="43369"/>
    <n v="43369"/>
  </r>
  <r>
    <x v="16"/>
    <x v="3"/>
    <x v="2"/>
    <n v="11323"/>
    <x v="113"/>
    <n v="3690"/>
    <n v="22370"/>
    <n v="20489"/>
    <n v="47233"/>
    <n v="47233"/>
  </r>
  <r>
    <x v="16"/>
    <x v="3"/>
    <x v="3"/>
    <n v="10925"/>
    <x v="114"/>
    <n v="4045"/>
    <n v="27712"/>
    <n v="23958"/>
    <n v="56311"/>
    <n v="56311"/>
  </r>
  <r>
    <x v="16"/>
    <x v="3"/>
    <x v="4"/>
    <n v="11873"/>
    <x v="115"/>
    <n v="3785"/>
    <n v="30242"/>
    <n v="25051"/>
    <n v="61917"/>
    <n v="61917"/>
  </r>
  <r>
    <x v="16"/>
    <x v="3"/>
    <x v="5"/>
    <n v="12550"/>
    <x v="116"/>
    <n v="5049"/>
    <n v="35855"/>
    <n v="30035"/>
    <n v="74582"/>
    <n v="74582"/>
  </r>
  <r>
    <x v="16"/>
    <x v="3"/>
    <x v="6"/>
    <n v="17119"/>
    <x v="117"/>
    <n v="4953"/>
    <n v="47935"/>
    <n v="41399"/>
    <n v="98328"/>
    <n v="98328"/>
  </r>
  <r>
    <x v="16"/>
    <x v="3"/>
    <x v="7"/>
    <n v="20852"/>
    <x v="118"/>
    <n v="5391"/>
    <n v="53434"/>
    <n v="44957"/>
    <n v="112563"/>
    <n v="112563"/>
  </r>
  <r>
    <x v="16"/>
    <x v="3"/>
    <x v="8"/>
    <n v="26711"/>
    <x v="119"/>
    <n v="8104"/>
    <n v="49470"/>
    <n v="52346"/>
    <n v="116999"/>
    <n v="116999"/>
  </r>
  <r>
    <x v="16"/>
    <x v="3"/>
    <x v="9"/>
    <n v="30475"/>
    <x v="120"/>
    <n v="11061"/>
    <n v="51621"/>
    <n v="61837"/>
    <n v="133443"/>
    <n v="133443"/>
  </r>
  <r>
    <x v="17"/>
    <x v="3"/>
    <x v="1"/>
    <n v="888"/>
    <x v="121"/>
    <n v="310"/>
    <n v="1599"/>
    <n v="1798"/>
    <n v="4082"/>
    <n v="4082"/>
  </r>
  <r>
    <x v="17"/>
    <x v="3"/>
    <x v="2"/>
    <n v="998"/>
    <x v="122"/>
    <n v="281"/>
    <n v="1732"/>
    <n v="2553"/>
    <n v="5185"/>
    <n v="5185"/>
  </r>
  <r>
    <x v="17"/>
    <x v="3"/>
    <x v="3"/>
    <n v="1080"/>
    <x v="123"/>
    <n v="272"/>
    <n v="2051"/>
    <n v="2827"/>
    <n v="5701"/>
    <n v="5701"/>
  </r>
  <r>
    <x v="17"/>
    <x v="3"/>
    <x v="4"/>
    <n v="1143"/>
    <x v="124"/>
    <n v="197"/>
    <n v="3103"/>
    <n v="2488"/>
    <n v="6736"/>
    <n v="6736"/>
  </r>
  <r>
    <x v="17"/>
    <x v="3"/>
    <x v="5"/>
    <n v="1604"/>
    <x v="125"/>
    <n v="285"/>
    <n v="3946"/>
    <n v="2831"/>
    <n v="8123"/>
    <n v="8123"/>
  </r>
  <r>
    <x v="17"/>
    <x v="3"/>
    <x v="6"/>
    <n v="2273"/>
    <x v="126"/>
    <n v="330"/>
    <n v="4740"/>
    <n v="3212"/>
    <n v="9177"/>
    <n v="9177"/>
  </r>
  <r>
    <x v="17"/>
    <x v="3"/>
    <x v="7"/>
    <n v="3195"/>
    <x v="127"/>
    <n v="750"/>
    <n v="4568"/>
    <n v="3635"/>
    <n v="9312"/>
    <n v="9312"/>
  </r>
  <r>
    <x v="17"/>
    <x v="3"/>
    <x v="8"/>
    <n v="3763"/>
    <x v="128"/>
    <n v="1161"/>
    <n v="4758"/>
    <n v="7616"/>
    <n v="13694"/>
    <n v="13694"/>
  </r>
  <r>
    <x v="17"/>
    <x v="3"/>
    <x v="9"/>
    <n v="4476"/>
    <x v="129"/>
    <n v="1521"/>
    <n v="5042"/>
    <n v="9282"/>
    <n v="16807"/>
    <n v="16807"/>
  </r>
  <r>
    <x v="18"/>
    <x v="3"/>
    <x v="0"/>
    <n v="5128"/>
    <x v="130"/>
    <n v="640"/>
    <n v="15626"/>
    <n v="4485"/>
    <n v="42162"/>
    <n v="42162"/>
  </r>
  <r>
    <x v="18"/>
    <x v="3"/>
    <x v="1"/>
    <n v="5846"/>
    <x v="131"/>
    <n v="715"/>
    <n v="13963"/>
    <n v="4920"/>
    <n v="46641"/>
    <n v="46641"/>
  </r>
  <r>
    <x v="18"/>
    <x v="3"/>
    <x v="2"/>
    <n v="5694"/>
    <x v="132"/>
    <n v="920"/>
    <n v="13832"/>
    <n v="5341"/>
    <n v="40389"/>
    <n v="40389"/>
  </r>
  <r>
    <x v="18"/>
    <x v="3"/>
    <x v="3"/>
    <n v="6707"/>
    <x v="133"/>
    <n v="850"/>
    <n v="16599"/>
    <n v="5964"/>
    <n v="40464"/>
    <n v="40464"/>
  </r>
  <r>
    <x v="18"/>
    <x v="3"/>
    <x v="4"/>
    <n v="6852"/>
    <x v="134"/>
    <n v="721"/>
    <n v="9205"/>
    <n v="6331"/>
    <n v="39885"/>
    <n v="39885"/>
  </r>
  <r>
    <x v="18"/>
    <x v="3"/>
    <x v="5"/>
    <n v="5299"/>
    <x v="135"/>
    <n v="117"/>
    <n v="19219"/>
    <n v="6549"/>
    <n v="41171"/>
    <n v="41171"/>
  </r>
  <r>
    <x v="18"/>
    <x v="3"/>
    <x v="6"/>
    <n v="5804"/>
    <x v="136"/>
    <n v="361"/>
    <n v="16697"/>
    <n v="11962"/>
    <n v="42481"/>
    <n v="42481"/>
  </r>
  <r>
    <x v="18"/>
    <x v="3"/>
    <x v="7"/>
    <n v="6402"/>
    <x v="137"/>
    <n v="720"/>
    <n v="16748"/>
    <n v="12775"/>
    <n v="42703"/>
    <n v="42703"/>
  </r>
  <r>
    <x v="18"/>
    <x v="3"/>
    <x v="8"/>
    <n v="7409"/>
    <x v="138"/>
    <n v="606"/>
    <n v="18653"/>
    <n v="13141"/>
    <n v="44870"/>
    <n v="44870"/>
  </r>
  <r>
    <x v="18"/>
    <x v="3"/>
    <x v="9"/>
    <n v="7613"/>
    <x v="139"/>
    <n v="6481"/>
    <n v="20599"/>
    <n v="19223"/>
    <n v="53849"/>
    <n v="53849"/>
  </r>
  <r>
    <x v="19"/>
    <x v="3"/>
    <x v="0"/>
    <n v="8261"/>
    <x v="140"/>
    <n v="-2749"/>
    <n v="39444"/>
    <n v="4387"/>
    <n v="59143"/>
    <n v="59143"/>
  </r>
  <r>
    <x v="19"/>
    <x v="3"/>
    <x v="1"/>
    <n v="9557"/>
    <x v="141"/>
    <n v="-347"/>
    <n v="21484"/>
    <n v="4739"/>
    <n v="36852"/>
    <n v="36852"/>
  </r>
  <r>
    <x v="19"/>
    <x v="3"/>
    <x v="2"/>
    <n v="8556"/>
    <x v="142"/>
    <n v="-1115"/>
    <n v="23411"/>
    <n v="2842"/>
    <n v="37898"/>
    <n v="37898"/>
  </r>
  <r>
    <x v="19"/>
    <x v="3"/>
    <x v="3"/>
    <n v="7411"/>
    <x v="143"/>
    <n v="-3356"/>
    <n v="27580"/>
    <n v="-1057"/>
    <n v="40075"/>
    <n v="40075"/>
  </r>
  <r>
    <x v="19"/>
    <x v="3"/>
    <x v="4"/>
    <n v="8395"/>
    <x v="144"/>
    <n v="-2202"/>
    <n v="34442"/>
    <n v="-3062"/>
    <n v="46302"/>
    <n v="46302"/>
  </r>
  <r>
    <x v="19"/>
    <x v="3"/>
    <x v="5"/>
    <n v="3566"/>
    <x v="145"/>
    <n v="-3428"/>
    <n v="36864"/>
    <n v="-2322"/>
    <n v="49843"/>
    <n v="49843"/>
  </r>
  <r>
    <x v="19"/>
    <x v="3"/>
    <x v="6"/>
    <n v="4601"/>
    <x v="146"/>
    <n v="-1131"/>
    <n v="26633"/>
    <n v="-1421"/>
    <n v="37087"/>
    <n v="37087"/>
  </r>
  <r>
    <x v="19"/>
    <x v="3"/>
    <x v="7"/>
    <n v="6674"/>
    <x v="147"/>
    <n v="-840"/>
    <n v="32157"/>
    <n v="-1396"/>
    <n v="43921"/>
    <n v="43921"/>
  </r>
  <r>
    <x v="19"/>
    <x v="3"/>
    <x v="8"/>
    <n v="8755"/>
    <x v="148"/>
    <n v="-828"/>
    <n v="35905"/>
    <n v="-2768"/>
    <n v="48489"/>
    <n v="48489"/>
  </r>
  <r>
    <x v="19"/>
    <x v="3"/>
    <x v="9"/>
    <n v="10414"/>
    <x v="149"/>
    <n v="-817"/>
    <n v="38218"/>
    <n v="-3559"/>
    <n v="48559"/>
    <n v="48559"/>
  </r>
  <r>
    <x v="20"/>
    <x v="4"/>
    <x v="10"/>
    <m/>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38503-D448-4A24-BDD3-E5F5BDB098C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J32" firstHeaderRow="1" firstDataRow="3" firstDataCol="2"/>
  <pivotFields count="11">
    <pivotField axis="axisRow" compact="0" outline="0" showAll="0">
      <items count="22">
        <item x="16"/>
        <item x="3"/>
        <item x="14"/>
        <item x="13"/>
        <item x="19"/>
        <item x="8"/>
        <item x="0"/>
        <item x="10"/>
        <item x="1"/>
        <item x="6"/>
        <item x="18"/>
        <item x="11"/>
        <item x="17"/>
        <item x="4"/>
        <item x="15"/>
        <item x="12"/>
        <item x="2"/>
        <item x="5"/>
        <item x="9"/>
        <item x="7"/>
        <item x="20"/>
        <item t="default"/>
      </items>
    </pivotField>
    <pivotField axis="axisRow" compact="0" outline="0" showAll="0">
      <items count="6">
        <item x="0"/>
        <item x="2"/>
        <item x="3"/>
        <item x="1"/>
        <item x="4"/>
        <item t="default"/>
      </items>
    </pivotField>
    <pivotField axis="axisCol" compact="0" outline="0" showAll="0">
      <items count="12">
        <item x="0"/>
        <item x="1"/>
        <item x="2"/>
        <item x="3"/>
        <item x="4"/>
        <item x="5"/>
        <item x="6"/>
        <item x="7"/>
        <item x="8"/>
        <item x="9"/>
        <item x="10"/>
        <item t="default"/>
      </items>
    </pivotField>
    <pivotField dataField="1" compact="0" outline="0" showAll="0"/>
    <pivotField compact="0" outline="0" showAll="0">
      <items count="151">
        <item x="140"/>
        <item x="121"/>
        <item x="123"/>
        <item x="122"/>
        <item x="124"/>
        <item x="125"/>
        <item x="145"/>
        <item x="126"/>
        <item x="91"/>
        <item x="92"/>
        <item x="143"/>
        <item x="93"/>
        <item x="82"/>
        <item x="81"/>
        <item x="142"/>
        <item x="83"/>
        <item x="127"/>
        <item x="147"/>
        <item x="94"/>
        <item x="84"/>
        <item x="85"/>
        <item x="95"/>
        <item x="71"/>
        <item x="128"/>
        <item x="86"/>
        <item x="72"/>
        <item x="88"/>
        <item x="144"/>
        <item x="97"/>
        <item x="87"/>
        <item x="129"/>
        <item x="146"/>
        <item x="90"/>
        <item x="135"/>
        <item x="89"/>
        <item x="96"/>
        <item x="136"/>
        <item x="73"/>
        <item x="130"/>
        <item x="132"/>
        <item x="98"/>
        <item x="74"/>
        <item x="133"/>
        <item x="134"/>
        <item x="148"/>
        <item x="138"/>
        <item x="131"/>
        <item x="137"/>
        <item x="141"/>
        <item x="99"/>
        <item x="100"/>
        <item x="75"/>
        <item x="139"/>
        <item x="76"/>
        <item x="77"/>
        <item x="149"/>
        <item x="42"/>
        <item x="41"/>
        <item x="78"/>
        <item x="49"/>
        <item x="111"/>
        <item x="43"/>
        <item x="80"/>
        <item x="112"/>
        <item x="45"/>
        <item x="79"/>
        <item x="51"/>
        <item x="115"/>
        <item x="44"/>
        <item x="52"/>
        <item x="114"/>
        <item x="31"/>
        <item x="46"/>
        <item x="50"/>
        <item x="113"/>
        <item x="53"/>
        <item x="48"/>
        <item x="47"/>
        <item x="116"/>
        <item x="54"/>
        <item x="117"/>
        <item x="55"/>
        <item x="23"/>
        <item x="32"/>
        <item x="21"/>
        <item x="118"/>
        <item x="33"/>
        <item x="22"/>
        <item x="24"/>
        <item x="56"/>
        <item x="25"/>
        <item x="57"/>
        <item x="34"/>
        <item x="58"/>
        <item x="61"/>
        <item x="59"/>
        <item x="26"/>
        <item x="60"/>
        <item x="11"/>
        <item x="62"/>
        <item x="101"/>
        <item x="119"/>
        <item x="63"/>
        <item x="102"/>
        <item x="27"/>
        <item x="29"/>
        <item x="28"/>
        <item x="66"/>
        <item x="12"/>
        <item x="35"/>
        <item x="30"/>
        <item x="120"/>
        <item x="64"/>
        <item x="13"/>
        <item x="14"/>
        <item x="65"/>
        <item x="36"/>
        <item x="103"/>
        <item x="15"/>
        <item x="37"/>
        <item x="67"/>
        <item x="16"/>
        <item x="38"/>
        <item x="104"/>
        <item x="106"/>
        <item x="39"/>
        <item x="107"/>
        <item x="105"/>
        <item x="69"/>
        <item x="40"/>
        <item x="68"/>
        <item x="70"/>
        <item x="108"/>
        <item x="17"/>
        <item x="109"/>
        <item x="1"/>
        <item x="18"/>
        <item x="2"/>
        <item x="3"/>
        <item x="110"/>
        <item x="19"/>
        <item x="20"/>
        <item x="4"/>
        <item x="5"/>
        <item x="6"/>
        <item x="7"/>
        <item x="8"/>
        <item x="9"/>
        <item x="10"/>
        <item x="0"/>
        <item t="default"/>
      </items>
    </pivotField>
    <pivotField dataField="1" compact="0" outline="0" showAll="0"/>
    <pivotField dataField="1" compact="0" outline="0" showAll="0"/>
    <pivotField dataField="1" compact="0" outline="0" showAll="0"/>
    <pivotField compact="0" outline="0" showAll="0"/>
    <pivotField compact="0" outline="0" showAll="0"/>
    <pivotField dataField="1" compact="0" outline="0" dragToRow="0" dragToCol="0" dragToPage="0" showAll="0" defaultSubtotal="0"/>
  </pivotFields>
  <rowFields count="2">
    <field x="1"/>
    <field x="0"/>
  </rowFields>
  <rowItems count="27">
    <i>
      <x/>
      <x v="1"/>
    </i>
    <i r="1">
      <x v="6"/>
    </i>
    <i r="1">
      <x v="8"/>
    </i>
    <i r="1">
      <x v="13"/>
    </i>
    <i r="1">
      <x v="16"/>
    </i>
    <i t="default">
      <x/>
    </i>
    <i>
      <x v="1"/>
      <x v="2"/>
    </i>
    <i r="1">
      <x v="3"/>
    </i>
    <i r="1">
      <x v="7"/>
    </i>
    <i r="1">
      <x v="11"/>
    </i>
    <i r="1">
      <x v="15"/>
    </i>
    <i t="default">
      <x v="1"/>
    </i>
    <i>
      <x v="2"/>
      <x/>
    </i>
    <i r="1">
      <x v="4"/>
    </i>
    <i r="1">
      <x v="10"/>
    </i>
    <i r="1">
      <x v="12"/>
    </i>
    <i r="1">
      <x v="14"/>
    </i>
    <i t="default">
      <x v="2"/>
    </i>
    <i>
      <x v="3"/>
      <x v="5"/>
    </i>
    <i r="1">
      <x v="9"/>
    </i>
    <i r="1">
      <x v="17"/>
    </i>
    <i r="1">
      <x v="18"/>
    </i>
    <i r="1">
      <x v="19"/>
    </i>
    <i t="default">
      <x v="3"/>
    </i>
    <i>
      <x v="4"/>
      <x v="20"/>
    </i>
    <i t="default">
      <x v="4"/>
    </i>
    <i t="grand">
      <x/>
    </i>
  </rowItems>
  <colFields count="2">
    <field x="-2"/>
    <field x="2"/>
  </colFields>
  <colItems count="60">
    <i>
      <x/>
      <x/>
    </i>
    <i r="1">
      <x v="1"/>
    </i>
    <i r="1">
      <x v="2"/>
    </i>
    <i r="1">
      <x v="3"/>
    </i>
    <i r="1">
      <x v="4"/>
    </i>
    <i r="1">
      <x v="5"/>
    </i>
    <i r="1">
      <x v="6"/>
    </i>
    <i r="1">
      <x v="7"/>
    </i>
    <i r="1">
      <x v="8"/>
    </i>
    <i r="1">
      <x v="9"/>
    </i>
    <i r="1">
      <x v="10"/>
    </i>
    <i i="1">
      <x v="1"/>
      <x/>
    </i>
    <i r="1" i="1">
      <x v="1"/>
    </i>
    <i r="1" i="1">
      <x v="2"/>
    </i>
    <i r="1" i="1">
      <x v="3"/>
    </i>
    <i r="1" i="1">
      <x v="4"/>
    </i>
    <i r="1" i="1">
      <x v="5"/>
    </i>
    <i r="1" i="1">
      <x v="6"/>
    </i>
    <i r="1" i="1">
      <x v="7"/>
    </i>
    <i r="1" i="1">
      <x v="8"/>
    </i>
    <i r="1" i="1">
      <x v="9"/>
    </i>
    <i r="1" i="1">
      <x v="10"/>
    </i>
    <i i="2">
      <x v="2"/>
      <x/>
    </i>
    <i r="1" i="2">
      <x v="1"/>
    </i>
    <i r="1" i="2">
      <x v="2"/>
    </i>
    <i r="1" i="2">
      <x v="3"/>
    </i>
    <i r="1" i="2">
      <x v="4"/>
    </i>
    <i r="1" i="2">
      <x v="5"/>
    </i>
    <i r="1" i="2">
      <x v="6"/>
    </i>
    <i r="1" i="2">
      <x v="7"/>
    </i>
    <i r="1" i="2">
      <x v="8"/>
    </i>
    <i r="1" i="2">
      <x v="9"/>
    </i>
    <i r="1" i="2">
      <x v="10"/>
    </i>
    <i i="3">
      <x v="3"/>
      <x/>
    </i>
    <i r="1" i="3">
      <x v="1"/>
    </i>
    <i r="1" i="3">
      <x v="2"/>
    </i>
    <i r="1" i="3">
      <x v="3"/>
    </i>
    <i r="1" i="3">
      <x v="4"/>
    </i>
    <i r="1" i="3">
      <x v="5"/>
    </i>
    <i r="1" i="3">
      <x v="6"/>
    </i>
    <i r="1" i="3">
      <x v="7"/>
    </i>
    <i r="1" i="3">
      <x v="8"/>
    </i>
    <i r="1" i="3">
      <x v="9"/>
    </i>
    <i r="1" i="3">
      <x v="10"/>
    </i>
    <i i="4">
      <x v="4"/>
      <x/>
    </i>
    <i r="1" i="4">
      <x v="1"/>
    </i>
    <i r="1" i="4">
      <x v="2"/>
    </i>
    <i r="1" i="4">
      <x v="3"/>
    </i>
    <i r="1" i="4">
      <x v="4"/>
    </i>
    <i r="1" i="4">
      <x v="5"/>
    </i>
    <i r="1" i="4">
      <x v="6"/>
    </i>
    <i r="1" i="4">
      <x v="7"/>
    </i>
    <i r="1" i="4">
      <x v="8"/>
    </i>
    <i r="1" i="4">
      <x v="9"/>
    </i>
    <i r="1" i="4">
      <x v="10"/>
    </i>
    <i t="grand">
      <x/>
    </i>
    <i t="grand" i="1">
      <x/>
    </i>
    <i t="grand" i="2">
      <x/>
    </i>
    <i t="grand" i="3">
      <x/>
    </i>
    <i t="grand" i="4">
      <x/>
    </i>
  </colItems>
  <dataFields count="5">
    <dataField name="Average of Revenue" fld="3" subtotal="average" baseField="0" baseItem="0"/>
    <dataField name="Average of Net_Profit" fld="5" subtotal="average" baseField="0" baseItem="0"/>
    <dataField name="Average of Equity" fld="7" subtotal="average" baseField="0" baseItem="0"/>
    <dataField name="Average of Debt" fld="6" subtotal="average" baseField="0" baseItem="0"/>
    <dataField name="Sum of Debt_to_Equity" fld="10" baseField="0" baseItem="0"/>
  </dataFields>
  <chartFormats count="5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1"/>
          </reference>
          <reference field="2" count="1" selected="0">
            <x v="0"/>
          </reference>
        </references>
      </pivotArea>
    </chartFormat>
    <chartFormat chart="0" format="12" series="1">
      <pivotArea type="data" outline="0" fieldPosition="0">
        <references count="2">
          <reference field="4294967294" count="1" selected="0">
            <x v="1"/>
          </reference>
          <reference field="2" count="1" selected="0">
            <x v="1"/>
          </reference>
        </references>
      </pivotArea>
    </chartFormat>
    <chartFormat chart="0" format="13" series="1">
      <pivotArea type="data" outline="0" fieldPosition="0">
        <references count="2">
          <reference field="4294967294" count="1" selected="0">
            <x v="1"/>
          </reference>
          <reference field="2" count="1" selected="0">
            <x v="2"/>
          </reference>
        </references>
      </pivotArea>
    </chartFormat>
    <chartFormat chart="0" format="14" series="1">
      <pivotArea type="data" outline="0" fieldPosition="0">
        <references count="2">
          <reference field="4294967294" count="1" selected="0">
            <x v="1"/>
          </reference>
          <reference field="2" count="1" selected="0">
            <x v="3"/>
          </reference>
        </references>
      </pivotArea>
    </chartFormat>
    <chartFormat chart="0" format="15" series="1">
      <pivotArea type="data" outline="0" fieldPosition="0">
        <references count="2">
          <reference field="4294967294" count="1" selected="0">
            <x v="1"/>
          </reference>
          <reference field="2" count="1" selected="0">
            <x v="4"/>
          </reference>
        </references>
      </pivotArea>
    </chartFormat>
    <chartFormat chart="0" format="16" series="1">
      <pivotArea type="data" outline="0" fieldPosition="0">
        <references count="2">
          <reference field="4294967294" count="1" selected="0">
            <x v="1"/>
          </reference>
          <reference field="2" count="1" selected="0">
            <x v="5"/>
          </reference>
        </references>
      </pivotArea>
    </chartFormat>
    <chartFormat chart="0" format="17" series="1">
      <pivotArea type="data" outline="0" fieldPosition="0">
        <references count="2">
          <reference field="4294967294" count="1" selected="0">
            <x v="1"/>
          </reference>
          <reference field="2" count="1" selected="0">
            <x v="6"/>
          </reference>
        </references>
      </pivotArea>
    </chartFormat>
    <chartFormat chart="0" format="18" series="1">
      <pivotArea type="data" outline="0" fieldPosition="0">
        <references count="2">
          <reference field="4294967294" count="1" selected="0">
            <x v="1"/>
          </reference>
          <reference field="2" count="1" selected="0">
            <x v="7"/>
          </reference>
        </references>
      </pivotArea>
    </chartFormat>
    <chartFormat chart="0" format="19" series="1">
      <pivotArea type="data" outline="0" fieldPosition="0">
        <references count="2">
          <reference field="4294967294" count="1" selected="0">
            <x v="1"/>
          </reference>
          <reference field="2" count="1" selected="0">
            <x v="8"/>
          </reference>
        </references>
      </pivotArea>
    </chartFormat>
    <chartFormat chart="0" format="20" series="1">
      <pivotArea type="data" outline="0" fieldPosition="0">
        <references count="2">
          <reference field="4294967294" count="1" selected="0">
            <x v="1"/>
          </reference>
          <reference field="2" count="1" selected="0">
            <x v="9"/>
          </reference>
        </references>
      </pivotArea>
    </chartFormat>
    <chartFormat chart="0" format="21" series="1">
      <pivotArea type="data" outline="0" fieldPosition="0">
        <references count="2">
          <reference field="4294967294" count="1" selected="0">
            <x v="1"/>
          </reference>
          <reference field="2" count="1" selected="0">
            <x v="10"/>
          </reference>
        </references>
      </pivotArea>
    </chartFormat>
    <chartFormat chart="0" format="33" series="1">
      <pivotArea type="data" outline="0" fieldPosition="0">
        <references count="2">
          <reference field="4294967294" count="1" selected="0">
            <x v="2"/>
          </reference>
          <reference field="2" count="1" selected="0">
            <x v="0"/>
          </reference>
        </references>
      </pivotArea>
    </chartFormat>
    <chartFormat chart="0" format="34" series="1">
      <pivotArea type="data" outline="0" fieldPosition="0">
        <references count="2">
          <reference field="4294967294" count="1" selected="0">
            <x v="2"/>
          </reference>
          <reference field="2" count="1" selected="0">
            <x v="1"/>
          </reference>
        </references>
      </pivotArea>
    </chartFormat>
    <chartFormat chart="0" format="35" series="1">
      <pivotArea type="data" outline="0" fieldPosition="0">
        <references count="2">
          <reference field="4294967294" count="1" selected="0">
            <x v="2"/>
          </reference>
          <reference field="2" count="1" selected="0">
            <x v="2"/>
          </reference>
        </references>
      </pivotArea>
    </chartFormat>
    <chartFormat chart="0" format="36" series="1">
      <pivotArea type="data" outline="0" fieldPosition="0">
        <references count="2">
          <reference field="4294967294" count="1" selected="0">
            <x v="2"/>
          </reference>
          <reference field="2" count="1" selected="0">
            <x v="3"/>
          </reference>
        </references>
      </pivotArea>
    </chartFormat>
    <chartFormat chart="0" format="37" series="1">
      <pivotArea type="data" outline="0" fieldPosition="0">
        <references count="2">
          <reference field="4294967294" count="1" selected="0">
            <x v="2"/>
          </reference>
          <reference field="2" count="1" selected="0">
            <x v="4"/>
          </reference>
        </references>
      </pivotArea>
    </chartFormat>
    <chartFormat chart="0" format="38" series="1">
      <pivotArea type="data" outline="0" fieldPosition="0">
        <references count="2">
          <reference field="4294967294" count="1" selected="0">
            <x v="2"/>
          </reference>
          <reference field="2" count="1" selected="0">
            <x v="5"/>
          </reference>
        </references>
      </pivotArea>
    </chartFormat>
    <chartFormat chart="0" format="39" series="1">
      <pivotArea type="data" outline="0" fieldPosition="0">
        <references count="2">
          <reference field="4294967294" count="1" selected="0">
            <x v="2"/>
          </reference>
          <reference field="2" count="1" selected="0">
            <x v="6"/>
          </reference>
        </references>
      </pivotArea>
    </chartFormat>
    <chartFormat chart="0" format="40" series="1">
      <pivotArea type="data" outline="0" fieldPosition="0">
        <references count="2">
          <reference field="4294967294" count="1" selected="0">
            <x v="2"/>
          </reference>
          <reference field="2" count="1" selected="0">
            <x v="7"/>
          </reference>
        </references>
      </pivotArea>
    </chartFormat>
    <chartFormat chart="0" format="41" series="1">
      <pivotArea type="data" outline="0" fieldPosition="0">
        <references count="2">
          <reference field="4294967294" count="1" selected="0">
            <x v="2"/>
          </reference>
          <reference field="2" count="1" selected="0">
            <x v="8"/>
          </reference>
        </references>
      </pivotArea>
    </chartFormat>
    <chartFormat chart="0" format="42" series="1">
      <pivotArea type="data" outline="0" fieldPosition="0">
        <references count="2">
          <reference field="4294967294" count="1" selected="0">
            <x v="2"/>
          </reference>
          <reference field="2" count="1" selected="0">
            <x v="9"/>
          </reference>
        </references>
      </pivotArea>
    </chartFormat>
    <chartFormat chart="0" format="43" series="1">
      <pivotArea type="data" outline="0" fieldPosition="0">
        <references count="2">
          <reference field="4294967294" count="1" selected="0">
            <x v="2"/>
          </reference>
          <reference field="2" count="1" selected="0">
            <x v="10"/>
          </reference>
        </references>
      </pivotArea>
    </chartFormat>
    <chartFormat chart="0" format="44" series="1">
      <pivotArea type="data" outline="0" fieldPosition="0">
        <references count="2">
          <reference field="4294967294" count="1" selected="0">
            <x v="3"/>
          </reference>
          <reference field="2" count="1" selected="0">
            <x v="0"/>
          </reference>
        </references>
      </pivotArea>
    </chartFormat>
    <chartFormat chart="0" format="45" series="1">
      <pivotArea type="data" outline="0" fieldPosition="0">
        <references count="2">
          <reference field="4294967294" count="1" selected="0">
            <x v="3"/>
          </reference>
          <reference field="2" count="1" selected="0">
            <x v="1"/>
          </reference>
        </references>
      </pivotArea>
    </chartFormat>
    <chartFormat chart="0" format="46" series="1">
      <pivotArea type="data" outline="0" fieldPosition="0">
        <references count="2">
          <reference field="4294967294" count="1" selected="0">
            <x v="3"/>
          </reference>
          <reference field="2" count="1" selected="0">
            <x v="2"/>
          </reference>
        </references>
      </pivotArea>
    </chartFormat>
    <chartFormat chart="0" format="47" series="1">
      <pivotArea type="data" outline="0" fieldPosition="0">
        <references count="2">
          <reference field="4294967294" count="1" selected="0">
            <x v="3"/>
          </reference>
          <reference field="2" count="1" selected="0">
            <x v="3"/>
          </reference>
        </references>
      </pivotArea>
    </chartFormat>
    <chartFormat chart="0" format="48" series="1">
      <pivotArea type="data" outline="0" fieldPosition="0">
        <references count="2">
          <reference field="4294967294" count="1" selected="0">
            <x v="3"/>
          </reference>
          <reference field="2" count="1" selected="0">
            <x v="4"/>
          </reference>
        </references>
      </pivotArea>
    </chartFormat>
    <chartFormat chart="0" format="49" series="1">
      <pivotArea type="data" outline="0" fieldPosition="0">
        <references count="2">
          <reference field="4294967294" count="1" selected="0">
            <x v="3"/>
          </reference>
          <reference field="2" count="1" selected="0">
            <x v="5"/>
          </reference>
        </references>
      </pivotArea>
    </chartFormat>
    <chartFormat chart="0" format="50" series="1">
      <pivotArea type="data" outline="0" fieldPosition="0">
        <references count="2">
          <reference field="4294967294" count="1" selected="0">
            <x v="3"/>
          </reference>
          <reference field="2" count="1" selected="0">
            <x v="6"/>
          </reference>
        </references>
      </pivotArea>
    </chartFormat>
    <chartFormat chart="0" format="51" series="1">
      <pivotArea type="data" outline="0" fieldPosition="0">
        <references count="2">
          <reference field="4294967294" count="1" selected="0">
            <x v="3"/>
          </reference>
          <reference field="2" count="1" selected="0">
            <x v="7"/>
          </reference>
        </references>
      </pivotArea>
    </chartFormat>
    <chartFormat chart="0" format="52" series="1">
      <pivotArea type="data" outline="0" fieldPosition="0">
        <references count="2">
          <reference field="4294967294" count="1" selected="0">
            <x v="3"/>
          </reference>
          <reference field="2" count="1" selected="0">
            <x v="8"/>
          </reference>
        </references>
      </pivotArea>
    </chartFormat>
    <chartFormat chart="0" format="53" series="1">
      <pivotArea type="data" outline="0" fieldPosition="0">
        <references count="2">
          <reference field="4294967294" count="1" selected="0">
            <x v="3"/>
          </reference>
          <reference field="2" count="1" selected="0">
            <x v="9"/>
          </reference>
        </references>
      </pivotArea>
    </chartFormat>
    <chartFormat chart="0" format="54" series="1">
      <pivotArea type="data" outline="0" fieldPosition="0">
        <references count="2">
          <reference field="4294967294" count="1" selected="0">
            <x v="3"/>
          </reference>
          <reference field="2" count="1" selected="0">
            <x v="10"/>
          </reference>
        </references>
      </pivotArea>
    </chartFormat>
    <chartFormat chart="0" format="55" series="1">
      <pivotArea type="data" outline="0" fieldPosition="0">
        <references count="2">
          <reference field="4294967294" count="1" selected="0">
            <x v="4"/>
          </reference>
          <reference field="2" count="1" selected="0">
            <x v="0"/>
          </reference>
        </references>
      </pivotArea>
    </chartFormat>
    <chartFormat chart="0" format="56" series="1">
      <pivotArea type="data" outline="0" fieldPosition="0">
        <references count="2">
          <reference field="4294967294" count="1" selected="0">
            <x v="4"/>
          </reference>
          <reference field="2" count="1" selected="0">
            <x v="1"/>
          </reference>
        </references>
      </pivotArea>
    </chartFormat>
    <chartFormat chart="0" format="57" series="1">
      <pivotArea type="data" outline="0" fieldPosition="0">
        <references count="2">
          <reference field="4294967294" count="1" selected="0">
            <x v="4"/>
          </reference>
          <reference field="2" count="1" selected="0">
            <x v="2"/>
          </reference>
        </references>
      </pivotArea>
    </chartFormat>
    <chartFormat chart="0" format="58" series="1">
      <pivotArea type="data" outline="0" fieldPosition="0">
        <references count="2">
          <reference field="4294967294" count="1" selected="0">
            <x v="4"/>
          </reference>
          <reference field="2" count="1" selected="0">
            <x v="3"/>
          </reference>
        </references>
      </pivotArea>
    </chartFormat>
    <chartFormat chart="0" format="59" series="1">
      <pivotArea type="data" outline="0" fieldPosition="0">
        <references count="2">
          <reference field="4294967294" count="1" selected="0">
            <x v="4"/>
          </reference>
          <reference field="2" count="1" selected="0">
            <x v="4"/>
          </reference>
        </references>
      </pivotArea>
    </chartFormat>
    <chartFormat chart="0" format="60" series="1">
      <pivotArea type="data" outline="0" fieldPosition="0">
        <references count="2">
          <reference field="4294967294" count="1" selected="0">
            <x v="4"/>
          </reference>
          <reference field="2" count="1" selected="0">
            <x v="5"/>
          </reference>
        </references>
      </pivotArea>
    </chartFormat>
    <chartFormat chart="0" format="61" series="1">
      <pivotArea type="data" outline="0" fieldPosition="0">
        <references count="2">
          <reference field="4294967294" count="1" selected="0">
            <x v="4"/>
          </reference>
          <reference field="2" count="1" selected="0">
            <x v="6"/>
          </reference>
        </references>
      </pivotArea>
    </chartFormat>
    <chartFormat chart="0" format="62" series="1">
      <pivotArea type="data" outline="0" fieldPosition="0">
        <references count="2">
          <reference field="4294967294" count="1" selected="0">
            <x v="4"/>
          </reference>
          <reference field="2" count="1" selected="0">
            <x v="7"/>
          </reference>
        </references>
      </pivotArea>
    </chartFormat>
    <chartFormat chart="0" format="63" series="1">
      <pivotArea type="data" outline="0" fieldPosition="0">
        <references count="2">
          <reference field="4294967294" count="1" selected="0">
            <x v="4"/>
          </reference>
          <reference field="2" count="1" selected="0">
            <x v="8"/>
          </reference>
        </references>
      </pivotArea>
    </chartFormat>
    <chartFormat chart="0" format="64" series="1">
      <pivotArea type="data" outline="0" fieldPosition="0">
        <references count="2">
          <reference field="4294967294" count="1" selected="0">
            <x v="4"/>
          </reference>
          <reference field="2" count="1" selected="0">
            <x v="9"/>
          </reference>
        </references>
      </pivotArea>
    </chartFormat>
    <chartFormat chart="0" format="65" series="1">
      <pivotArea type="data" outline="0" fieldPosition="0">
        <references count="2">
          <reference field="4294967294" count="1" selected="0">
            <x v="4"/>
          </reference>
          <reference field="2" count="1" selected="0">
            <x v="1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CD4739A1-52DF-40A0-9E50-35E5F2CDAD4A}" sourceName="Company">
  <pivotTables>
    <pivotTable tabId="3" name="PivotTable1"/>
  </pivotTables>
  <data>
    <tabular pivotCacheId="656506089">
      <items count="21">
        <i x="16" s="1"/>
        <i x="3" s="1"/>
        <i x="14" s="1"/>
        <i x="13" s="1"/>
        <i x="19" s="1"/>
        <i x="8" s="1"/>
        <i x="0" s="1"/>
        <i x="10" s="1"/>
        <i x="1" s="1"/>
        <i x="6" s="1"/>
        <i x="18" s="1"/>
        <i x="11" s="1"/>
        <i x="17" s="1"/>
        <i x="4" s="1"/>
        <i x="15" s="1"/>
        <i x="12" s="1"/>
        <i x="2" s="1"/>
        <i x="5" s="1"/>
        <i x="9" s="1"/>
        <i x="7" s="1"/>
        <i x="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3B6B4F22-4DCC-4C80-A032-FEBFBF4BF866}" sourceName="Sector">
  <pivotTables>
    <pivotTable tabId="3" name="PivotTable1"/>
  </pivotTables>
  <data>
    <tabular pivotCacheId="656506089">
      <items count="5">
        <i x="0" s="1"/>
        <i x="2"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EBD2BA80-EDBB-4ACD-85E0-6CBD858049E8}" cache="Slicer_Company" caption="Company" rowHeight="234950"/>
  <slicer name="Company 1" xr10:uid="{3B57B615-E696-4118-96DB-23C69450A801}" cache="Slicer_Company" caption="Company" rowHeight="234950"/>
  <slicer name="Sector" xr10:uid="{36AC9988-8B33-4469-9966-47DB2B23B9B8}" cache="Slicer_Sector" caption="Sector" rowHeight="234950"/>
  <slicer name="Sector 1" xr10:uid="{E2A4948B-9EA8-4EE2-BF44-3D10B9EB4A27}" cache="Slicer_Sector" caption="Se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344EDC-8366-45D9-917B-2D24698D4F23}" name="Table1" displayName="Table1" ref="A1:J200" totalsRowShown="0">
  <autoFilter ref="A1:J200" xr:uid="{9F344EDC-8366-45D9-917B-2D24698D4F23}"/>
  <tableColumns count="10">
    <tableColumn id="1" xr3:uid="{4F222017-8F9D-46E7-A9F2-85BF709B0E65}" name="Company" dataDxfId="0"/>
    <tableColumn id="2" xr3:uid="{A17491C2-619D-42B6-97EB-EC2CD531919F}" name="Sector"/>
    <tableColumn id="3" xr3:uid="{4175938B-2175-46E4-9077-DBDB77C4F969}" name="Year"/>
    <tableColumn id="4" xr3:uid="{C8E9B744-C1DA-47E7-9E59-69154C865F74}" name="Revenue"/>
    <tableColumn id="5" xr3:uid="{B4DD2DAF-3AA5-4B06-8043-9444B374ED99}" name="EBITDA"/>
    <tableColumn id="6" xr3:uid="{A2F7C064-3EE5-4981-BFA6-FFF9EF4A38ED}" name="Net_Profit"/>
    <tableColumn id="7" xr3:uid="{9C5BAECE-A4F0-484A-A1F4-D647CEC1DFEF}" name="Debt"/>
    <tableColumn id="8" xr3:uid="{C7CC8269-6944-4BA7-816C-01FF80086206}" name="Equity"/>
    <tableColumn id="9" xr3:uid="{AC3B2BAF-F3AD-4F58-86ED-DE3D0C5573BC}" name="Total_Assets"/>
    <tableColumn id="10" xr3:uid="{895B003B-60FE-4A43-B3BC-C13B23DDA4E0}" name="Total_Liabilit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C3AE-F4FF-43B5-8B0F-ADF6B8F896C3}">
  <dimension ref="A3:BJ32"/>
  <sheetViews>
    <sheetView tabSelected="1" zoomScale="70" zoomScaleNormal="86" workbookViewId="0">
      <selection activeCell="A32" sqref="A32"/>
    </sheetView>
  </sheetViews>
  <sheetFormatPr defaultRowHeight="14.4" x14ac:dyDescent="0.3"/>
  <cols>
    <col min="1" max="1" width="11.44140625" bestFit="1" customWidth="1"/>
    <col min="2" max="2" width="20.21875" bestFit="1" customWidth="1"/>
    <col min="3" max="57" width="21.33203125" bestFit="1" customWidth="1"/>
    <col min="58" max="58" width="23.77734375" bestFit="1" customWidth="1"/>
    <col min="59" max="59" width="25.33203125" bestFit="1" customWidth="1"/>
    <col min="60" max="60" width="21.33203125" bestFit="1" customWidth="1"/>
    <col min="61" max="61" width="20.21875" bestFit="1" customWidth="1"/>
    <col min="62" max="62" width="26.33203125" bestFit="1" customWidth="1"/>
    <col min="63" max="68" width="22" bestFit="1" customWidth="1"/>
    <col min="69" max="69" width="24" bestFit="1" customWidth="1"/>
    <col min="70" max="70" width="25.6640625" bestFit="1" customWidth="1"/>
    <col min="71" max="71" width="22.6640625" bestFit="1" customWidth="1"/>
    <col min="72" max="72" width="22.109375" bestFit="1" customWidth="1"/>
    <col min="73" max="73" width="20.5546875" bestFit="1" customWidth="1"/>
    <col min="74" max="74" width="27.109375" bestFit="1" customWidth="1"/>
  </cols>
  <sheetData>
    <row r="3" spans="1:62" x14ac:dyDescent="0.3">
      <c r="C3" s="3" t="s">
        <v>1</v>
      </c>
      <c r="D3" s="3" t="s">
        <v>2</v>
      </c>
    </row>
    <row r="4" spans="1:62" x14ac:dyDescent="0.3">
      <c r="C4" t="s">
        <v>3</v>
      </c>
      <c r="N4" t="s">
        <v>4</v>
      </c>
      <c r="Y4" t="s">
        <v>5</v>
      </c>
      <c r="AJ4" t="s">
        <v>6</v>
      </c>
      <c r="AU4" t="s">
        <v>50</v>
      </c>
      <c r="BF4" t="s">
        <v>7</v>
      </c>
      <c r="BG4" t="s">
        <v>8</v>
      </c>
      <c r="BH4" t="s">
        <v>9</v>
      </c>
      <c r="BI4" t="s">
        <v>10</v>
      </c>
      <c r="BJ4" t="s">
        <v>51</v>
      </c>
    </row>
    <row r="5" spans="1:62" x14ac:dyDescent="0.3">
      <c r="A5" s="3" t="s">
        <v>11</v>
      </c>
      <c r="B5" s="3" t="s">
        <v>12</v>
      </c>
      <c r="C5">
        <v>2016</v>
      </c>
      <c r="D5">
        <v>2017</v>
      </c>
      <c r="E5">
        <v>2018</v>
      </c>
      <c r="F5">
        <v>2019</v>
      </c>
      <c r="G5">
        <v>2020</v>
      </c>
      <c r="H5">
        <v>2021</v>
      </c>
      <c r="I5">
        <v>2022</v>
      </c>
      <c r="J5">
        <v>2023</v>
      </c>
      <c r="K5">
        <v>2024</v>
      </c>
      <c r="L5">
        <v>2025</v>
      </c>
      <c r="M5" t="s">
        <v>13</v>
      </c>
      <c r="N5">
        <v>2016</v>
      </c>
      <c r="O5">
        <v>2017</v>
      </c>
      <c r="P5">
        <v>2018</v>
      </c>
      <c r="Q5">
        <v>2019</v>
      </c>
      <c r="R5">
        <v>2020</v>
      </c>
      <c r="S5">
        <v>2021</v>
      </c>
      <c r="T5">
        <v>2022</v>
      </c>
      <c r="U5">
        <v>2023</v>
      </c>
      <c r="V5">
        <v>2024</v>
      </c>
      <c r="W5">
        <v>2025</v>
      </c>
      <c r="X5" t="s">
        <v>13</v>
      </c>
      <c r="Y5">
        <v>2016</v>
      </c>
      <c r="Z5">
        <v>2017</v>
      </c>
      <c r="AA5">
        <v>2018</v>
      </c>
      <c r="AB5">
        <v>2019</v>
      </c>
      <c r="AC5">
        <v>2020</v>
      </c>
      <c r="AD5">
        <v>2021</v>
      </c>
      <c r="AE5">
        <v>2022</v>
      </c>
      <c r="AF5">
        <v>2023</v>
      </c>
      <c r="AG5">
        <v>2024</v>
      </c>
      <c r="AH5">
        <v>2025</v>
      </c>
      <c r="AI5" t="s">
        <v>13</v>
      </c>
      <c r="AJ5">
        <v>2016</v>
      </c>
      <c r="AK5">
        <v>2017</v>
      </c>
      <c r="AL5">
        <v>2018</v>
      </c>
      <c r="AM5">
        <v>2019</v>
      </c>
      <c r="AN5">
        <v>2020</v>
      </c>
      <c r="AO5">
        <v>2021</v>
      </c>
      <c r="AP5">
        <v>2022</v>
      </c>
      <c r="AQ5">
        <v>2023</v>
      </c>
      <c r="AR5">
        <v>2024</v>
      </c>
      <c r="AS5">
        <v>2025</v>
      </c>
      <c r="AT5" t="s">
        <v>13</v>
      </c>
      <c r="AU5">
        <v>2016</v>
      </c>
      <c r="AV5">
        <v>2017</v>
      </c>
      <c r="AW5">
        <v>2018</v>
      </c>
      <c r="AX5">
        <v>2019</v>
      </c>
      <c r="AY5">
        <v>2020</v>
      </c>
      <c r="AZ5">
        <v>2021</v>
      </c>
      <c r="BA5">
        <v>2022</v>
      </c>
      <c r="BB5">
        <v>2023</v>
      </c>
      <c r="BC5">
        <v>2024</v>
      </c>
      <c r="BD5">
        <v>2025</v>
      </c>
      <c r="BE5" t="s">
        <v>13</v>
      </c>
    </row>
    <row r="6" spans="1:62" x14ac:dyDescent="0.3">
      <c r="A6" t="s">
        <v>14</v>
      </c>
      <c r="B6" t="s">
        <v>15</v>
      </c>
      <c r="C6">
        <v>41409</v>
      </c>
      <c r="D6">
        <v>45175</v>
      </c>
      <c r="E6">
        <v>46614</v>
      </c>
      <c r="F6">
        <v>56044</v>
      </c>
      <c r="G6">
        <v>63716</v>
      </c>
      <c r="H6">
        <v>64397</v>
      </c>
      <c r="I6">
        <v>68846</v>
      </c>
      <c r="J6">
        <v>87448</v>
      </c>
      <c r="K6">
        <v>112759</v>
      </c>
      <c r="L6">
        <v>127374</v>
      </c>
      <c r="N6">
        <v>8358</v>
      </c>
      <c r="O6">
        <v>3967</v>
      </c>
      <c r="P6">
        <v>464</v>
      </c>
      <c r="Q6">
        <v>5047</v>
      </c>
      <c r="R6">
        <v>1879</v>
      </c>
      <c r="S6">
        <v>7252</v>
      </c>
      <c r="T6">
        <v>14207</v>
      </c>
      <c r="U6">
        <v>10919</v>
      </c>
      <c r="V6">
        <v>26492</v>
      </c>
      <c r="W6">
        <v>28191</v>
      </c>
      <c r="Y6">
        <v>53559</v>
      </c>
      <c r="Z6">
        <v>56380</v>
      </c>
      <c r="AA6">
        <v>64207</v>
      </c>
      <c r="AB6">
        <v>67802</v>
      </c>
      <c r="AC6">
        <v>86340</v>
      </c>
      <c r="AD6">
        <v>103594</v>
      </c>
      <c r="AE6">
        <v>118261</v>
      </c>
      <c r="AF6">
        <v>129781</v>
      </c>
      <c r="AG6">
        <v>157023</v>
      </c>
      <c r="AH6">
        <v>187235</v>
      </c>
      <c r="AJ6">
        <v>113848</v>
      </c>
      <c r="AK6">
        <v>112455</v>
      </c>
      <c r="AL6">
        <v>155767</v>
      </c>
      <c r="AM6">
        <v>161250</v>
      </c>
      <c r="AN6">
        <v>155180</v>
      </c>
      <c r="AO6">
        <v>152249</v>
      </c>
      <c r="AP6">
        <v>199778</v>
      </c>
      <c r="AQ6">
        <v>206214</v>
      </c>
      <c r="AR6">
        <v>228200</v>
      </c>
      <c r="AS6">
        <v>220687</v>
      </c>
      <c r="AU6">
        <v>2.1256558188166319</v>
      </c>
      <c r="AV6">
        <v>1.9945902802412203</v>
      </c>
      <c r="AW6">
        <v>2.4260127400439204</v>
      </c>
      <c r="AX6">
        <v>2.3782484292498745</v>
      </c>
      <c r="AY6">
        <v>1.7973129488070418</v>
      </c>
      <c r="AZ6">
        <v>1.4696700581114737</v>
      </c>
      <c r="BA6">
        <v>1.6892974015102189</v>
      </c>
      <c r="BB6">
        <v>1.5889382883472927</v>
      </c>
      <c r="BC6">
        <v>1.4532902823153295</v>
      </c>
      <c r="BD6">
        <v>1.1786631772905707</v>
      </c>
      <c r="BE6" t="e">
        <v>#DIV/0!</v>
      </c>
      <c r="BF6">
        <v>71378.2</v>
      </c>
      <c r="BG6">
        <v>10677.6</v>
      </c>
      <c r="BH6">
        <v>102418.2</v>
      </c>
      <c r="BI6">
        <v>170562.8</v>
      </c>
      <c r="BJ6">
        <v>1.6653563526795043</v>
      </c>
    </row>
    <row r="7" spans="1:62" x14ac:dyDescent="0.3">
      <c r="B7" t="s">
        <v>16</v>
      </c>
      <c r="C7">
        <v>63162</v>
      </c>
      <c r="D7">
        <v>73271</v>
      </c>
      <c r="E7">
        <v>85288</v>
      </c>
      <c r="F7">
        <v>105161</v>
      </c>
      <c r="G7">
        <v>122189</v>
      </c>
      <c r="H7">
        <v>128552</v>
      </c>
      <c r="I7">
        <v>135936</v>
      </c>
      <c r="J7">
        <v>170754</v>
      </c>
      <c r="K7">
        <v>283649</v>
      </c>
      <c r="L7">
        <v>336367</v>
      </c>
      <c r="N7">
        <v>12821</v>
      </c>
      <c r="O7">
        <v>15317</v>
      </c>
      <c r="P7">
        <v>18561</v>
      </c>
      <c r="Q7">
        <v>22446</v>
      </c>
      <c r="R7">
        <v>27296</v>
      </c>
      <c r="S7">
        <v>31857</v>
      </c>
      <c r="T7">
        <v>38151</v>
      </c>
      <c r="U7">
        <v>46149</v>
      </c>
      <c r="V7">
        <v>65446</v>
      </c>
      <c r="W7">
        <v>73440</v>
      </c>
      <c r="Y7">
        <v>74304</v>
      </c>
      <c r="Z7">
        <v>91794</v>
      </c>
      <c r="AA7">
        <v>109599</v>
      </c>
      <c r="AB7">
        <v>153673</v>
      </c>
      <c r="AC7">
        <v>176358</v>
      </c>
      <c r="AD7">
        <v>209810</v>
      </c>
      <c r="AE7">
        <v>247327</v>
      </c>
      <c r="AF7">
        <v>289438</v>
      </c>
      <c r="AG7">
        <v>456396</v>
      </c>
      <c r="AH7">
        <v>521789</v>
      </c>
      <c r="AJ7">
        <v>103714</v>
      </c>
      <c r="AK7">
        <v>98416</v>
      </c>
      <c r="AL7">
        <v>156442</v>
      </c>
      <c r="AM7">
        <v>157733</v>
      </c>
      <c r="AN7">
        <v>186834</v>
      </c>
      <c r="AO7">
        <v>177697</v>
      </c>
      <c r="AP7">
        <v>226966</v>
      </c>
      <c r="AQ7">
        <v>256549</v>
      </c>
      <c r="AR7">
        <v>730615</v>
      </c>
      <c r="AS7">
        <v>634606</v>
      </c>
      <c r="AU7">
        <v>1.3958064168819984</v>
      </c>
      <c r="AV7">
        <v>1.0721397912717607</v>
      </c>
      <c r="AW7">
        <v>1.4274035347037839</v>
      </c>
      <c r="AX7">
        <v>1.0264197354122064</v>
      </c>
      <c r="AY7">
        <v>1.0594018984111864</v>
      </c>
      <c r="AZ7">
        <v>0.84694247176016391</v>
      </c>
      <c r="BA7">
        <v>0.91767578954178075</v>
      </c>
      <c r="BB7">
        <v>0.88636944699728437</v>
      </c>
      <c r="BC7">
        <v>1.600835677788587</v>
      </c>
      <c r="BD7">
        <v>1.2162119170775927</v>
      </c>
      <c r="BE7" t="e">
        <v>#DIV/0!</v>
      </c>
      <c r="BF7">
        <v>150432.9</v>
      </c>
      <c r="BG7">
        <v>35148.400000000001</v>
      </c>
      <c r="BH7">
        <v>233048.8</v>
      </c>
      <c r="BI7">
        <v>272957.2</v>
      </c>
      <c r="BJ7">
        <v>1.1712448208272259</v>
      </c>
    </row>
    <row r="8" spans="1:62" x14ac:dyDescent="0.3">
      <c r="B8" t="s">
        <v>17</v>
      </c>
      <c r="C8">
        <v>59294</v>
      </c>
      <c r="D8">
        <v>60940</v>
      </c>
      <c r="E8">
        <v>62162</v>
      </c>
      <c r="F8">
        <v>71982</v>
      </c>
      <c r="G8">
        <v>84836</v>
      </c>
      <c r="H8">
        <v>89163</v>
      </c>
      <c r="I8">
        <v>95407</v>
      </c>
      <c r="J8">
        <v>121067</v>
      </c>
      <c r="K8">
        <v>159516</v>
      </c>
      <c r="L8">
        <v>186331</v>
      </c>
      <c r="N8">
        <v>10927</v>
      </c>
      <c r="O8">
        <v>11340</v>
      </c>
      <c r="P8">
        <v>9100</v>
      </c>
      <c r="Q8">
        <v>5689</v>
      </c>
      <c r="R8">
        <v>11225</v>
      </c>
      <c r="S8">
        <v>20364</v>
      </c>
      <c r="T8">
        <v>26538</v>
      </c>
      <c r="U8">
        <v>35461</v>
      </c>
      <c r="V8">
        <v>46081</v>
      </c>
      <c r="W8">
        <v>54569</v>
      </c>
      <c r="Y8">
        <v>94111</v>
      </c>
      <c r="Z8">
        <v>104632</v>
      </c>
      <c r="AA8">
        <v>110630</v>
      </c>
      <c r="AB8">
        <v>114253</v>
      </c>
      <c r="AC8">
        <v>122960</v>
      </c>
      <c r="AD8">
        <v>157587</v>
      </c>
      <c r="AE8">
        <v>182053</v>
      </c>
      <c r="AF8">
        <v>214498</v>
      </c>
      <c r="AG8">
        <v>256144</v>
      </c>
      <c r="AH8">
        <v>313906</v>
      </c>
      <c r="AJ8">
        <v>189054</v>
      </c>
      <c r="AK8">
        <v>170670</v>
      </c>
      <c r="AL8">
        <v>229402</v>
      </c>
      <c r="AM8">
        <v>210324</v>
      </c>
      <c r="AN8">
        <v>213852</v>
      </c>
      <c r="AO8">
        <v>143900</v>
      </c>
      <c r="AP8">
        <v>161603</v>
      </c>
      <c r="AQ8">
        <v>189062</v>
      </c>
      <c r="AR8">
        <v>207428</v>
      </c>
      <c r="AS8">
        <v>218883</v>
      </c>
      <c r="AU8">
        <v>2.0088406243690962</v>
      </c>
      <c r="AV8">
        <v>1.6311453475036317</v>
      </c>
      <c r="AW8">
        <v>2.0735966735966738</v>
      </c>
      <c r="AX8">
        <v>1.840861946732252</v>
      </c>
      <c r="AY8">
        <v>1.7391997397527652</v>
      </c>
      <c r="AZ8">
        <v>0.91314638897878631</v>
      </c>
      <c r="BA8">
        <v>0.88767007409930077</v>
      </c>
      <c r="BB8">
        <v>0.881416143740268</v>
      </c>
      <c r="BC8">
        <v>0.80981010681491661</v>
      </c>
      <c r="BD8">
        <v>0.69728836020974427</v>
      </c>
      <c r="BE8" t="e">
        <v>#DIV/0!</v>
      </c>
      <c r="BF8">
        <v>99069.8</v>
      </c>
      <c r="BG8">
        <v>23129.4</v>
      </c>
      <c r="BH8">
        <v>167077.4</v>
      </c>
      <c r="BI8">
        <v>193417.8</v>
      </c>
      <c r="BJ8">
        <v>1.1576538777835901</v>
      </c>
    </row>
    <row r="9" spans="1:62" x14ac:dyDescent="0.3">
      <c r="B9" t="s">
        <v>18</v>
      </c>
      <c r="C9">
        <v>20402</v>
      </c>
      <c r="D9">
        <v>22324</v>
      </c>
      <c r="E9">
        <v>25131</v>
      </c>
      <c r="F9">
        <v>29831</v>
      </c>
      <c r="G9">
        <v>33474</v>
      </c>
      <c r="H9">
        <v>32820</v>
      </c>
      <c r="I9">
        <v>33741</v>
      </c>
      <c r="J9">
        <v>42151</v>
      </c>
      <c r="K9">
        <v>56237</v>
      </c>
      <c r="L9">
        <v>65669</v>
      </c>
      <c r="N9">
        <v>3524</v>
      </c>
      <c r="O9">
        <v>5019</v>
      </c>
      <c r="P9">
        <v>6258</v>
      </c>
      <c r="Q9">
        <v>7204</v>
      </c>
      <c r="R9">
        <v>8593</v>
      </c>
      <c r="S9">
        <v>9990</v>
      </c>
      <c r="T9">
        <v>12089</v>
      </c>
      <c r="U9">
        <v>14925</v>
      </c>
      <c r="V9">
        <v>18213</v>
      </c>
      <c r="W9">
        <v>22126</v>
      </c>
      <c r="Y9">
        <v>33364</v>
      </c>
      <c r="Z9">
        <v>38492</v>
      </c>
      <c r="AA9">
        <v>50488</v>
      </c>
      <c r="AB9">
        <v>57781</v>
      </c>
      <c r="AC9">
        <v>66637</v>
      </c>
      <c r="AD9">
        <v>84339</v>
      </c>
      <c r="AE9">
        <v>96665</v>
      </c>
      <c r="AF9">
        <v>111814</v>
      </c>
      <c r="AG9">
        <v>129972</v>
      </c>
      <c r="AH9">
        <v>157489</v>
      </c>
      <c r="AJ9">
        <v>43730</v>
      </c>
      <c r="AK9">
        <v>49690</v>
      </c>
      <c r="AL9">
        <v>58604</v>
      </c>
      <c r="AM9">
        <v>66939</v>
      </c>
      <c r="AN9">
        <v>66077</v>
      </c>
      <c r="AO9">
        <v>48239</v>
      </c>
      <c r="AP9">
        <v>55660</v>
      </c>
      <c r="AQ9">
        <v>57534</v>
      </c>
      <c r="AR9">
        <v>75106</v>
      </c>
      <c r="AS9">
        <v>97622</v>
      </c>
      <c r="AU9">
        <v>1.3106941613715382</v>
      </c>
      <c r="AV9">
        <v>1.2909175932661332</v>
      </c>
      <c r="AW9">
        <v>1.1607510695610839</v>
      </c>
      <c r="AX9">
        <v>1.1584950070092246</v>
      </c>
      <c r="AY9">
        <v>0.99159626033584947</v>
      </c>
      <c r="AZ9">
        <v>0.5719655201033923</v>
      </c>
      <c r="BA9">
        <v>0.57580303108674291</v>
      </c>
      <c r="BB9">
        <v>0.51455095068596057</v>
      </c>
      <c r="BC9">
        <v>0.57786292432216169</v>
      </c>
      <c r="BD9">
        <v>0.61986551441687987</v>
      </c>
      <c r="BE9" t="e">
        <v>#DIV/0!</v>
      </c>
      <c r="BF9">
        <v>36178</v>
      </c>
      <c r="BG9">
        <v>10794.1</v>
      </c>
      <c r="BH9">
        <v>82704.100000000006</v>
      </c>
      <c r="BI9">
        <v>61920.1</v>
      </c>
      <c r="BJ9">
        <v>0.74869444199259771</v>
      </c>
    </row>
    <row r="10" spans="1:62" x14ac:dyDescent="0.3">
      <c r="B10" t="s">
        <v>19</v>
      </c>
      <c r="C10">
        <v>220633</v>
      </c>
      <c r="D10">
        <v>230447</v>
      </c>
      <c r="E10">
        <v>228970</v>
      </c>
      <c r="F10">
        <v>253322</v>
      </c>
      <c r="G10">
        <v>269852</v>
      </c>
      <c r="H10">
        <v>278115</v>
      </c>
      <c r="I10">
        <v>289973</v>
      </c>
      <c r="J10">
        <v>350845</v>
      </c>
      <c r="K10">
        <v>439189</v>
      </c>
      <c r="L10">
        <v>490938</v>
      </c>
      <c r="N10">
        <v>13019</v>
      </c>
      <c r="O10">
        <v>-97</v>
      </c>
      <c r="P10">
        <v>-3749</v>
      </c>
      <c r="Q10">
        <v>3351</v>
      </c>
      <c r="R10">
        <v>21140</v>
      </c>
      <c r="S10">
        <v>23888</v>
      </c>
      <c r="T10">
        <v>37183</v>
      </c>
      <c r="U10">
        <v>57750</v>
      </c>
      <c r="V10">
        <v>69543</v>
      </c>
      <c r="W10">
        <v>80523</v>
      </c>
      <c r="Y10">
        <v>180592</v>
      </c>
      <c r="Z10">
        <v>217192</v>
      </c>
      <c r="AA10">
        <v>230321</v>
      </c>
      <c r="AB10">
        <v>234495</v>
      </c>
      <c r="AC10">
        <v>251060</v>
      </c>
      <c r="AD10">
        <v>275561</v>
      </c>
      <c r="AE10">
        <v>305588</v>
      </c>
      <c r="AF10">
        <v>358931</v>
      </c>
      <c r="AG10">
        <v>414939</v>
      </c>
      <c r="AH10">
        <v>487036</v>
      </c>
      <c r="AJ10">
        <v>361399</v>
      </c>
      <c r="AK10">
        <v>336366</v>
      </c>
      <c r="AL10">
        <v>369079</v>
      </c>
      <c r="AM10">
        <v>413748</v>
      </c>
      <c r="AN10">
        <v>332901</v>
      </c>
      <c r="AO10">
        <v>433796</v>
      </c>
      <c r="AP10">
        <v>449160</v>
      </c>
      <c r="AQ10">
        <v>521152</v>
      </c>
      <c r="AR10">
        <v>639610</v>
      </c>
      <c r="AS10">
        <v>610857</v>
      </c>
      <c r="AU10">
        <v>2.0011905289270842</v>
      </c>
      <c r="AV10">
        <v>1.548703451324174</v>
      </c>
      <c r="AW10">
        <v>1.6024548347740761</v>
      </c>
      <c r="AX10">
        <v>1.7644214162348877</v>
      </c>
      <c r="AY10">
        <v>1.325981837011073</v>
      </c>
      <c r="AZ10">
        <v>1.5742285737096324</v>
      </c>
      <c r="BA10">
        <v>1.4698221134337737</v>
      </c>
      <c r="BB10">
        <v>1.451955946964737</v>
      </c>
      <c r="BC10">
        <v>1.5414554910480818</v>
      </c>
      <c r="BD10">
        <v>1.2542337732734337</v>
      </c>
      <c r="BE10" t="e">
        <v>#DIV/0!</v>
      </c>
      <c r="BF10">
        <v>305228.40000000002</v>
      </c>
      <c r="BG10">
        <v>30255.1</v>
      </c>
      <c r="BH10">
        <v>295571.5</v>
      </c>
      <c r="BI10">
        <v>446806.8</v>
      </c>
      <c r="BJ10">
        <v>1.5116707801665588</v>
      </c>
    </row>
    <row r="11" spans="1:62" x14ac:dyDescent="0.3">
      <c r="A11" t="s">
        <v>20</v>
      </c>
      <c r="C11">
        <v>80980</v>
      </c>
      <c r="D11">
        <v>86431.4</v>
      </c>
      <c r="E11">
        <v>89633</v>
      </c>
      <c r="F11">
        <v>103268</v>
      </c>
      <c r="G11">
        <v>114813.4</v>
      </c>
      <c r="H11">
        <v>118609.4</v>
      </c>
      <c r="I11">
        <v>124780.6</v>
      </c>
      <c r="J11">
        <v>154453</v>
      </c>
      <c r="K11">
        <v>210270</v>
      </c>
      <c r="L11">
        <v>241335.8</v>
      </c>
      <c r="N11">
        <v>9729.7999999999993</v>
      </c>
      <c r="O11">
        <v>7109.2</v>
      </c>
      <c r="P11">
        <v>6126.8</v>
      </c>
      <c r="Q11">
        <v>8747.4</v>
      </c>
      <c r="R11">
        <v>14026.6</v>
      </c>
      <c r="S11">
        <v>18670.2</v>
      </c>
      <c r="T11">
        <v>25633.599999999999</v>
      </c>
      <c r="U11">
        <v>33040.800000000003</v>
      </c>
      <c r="V11">
        <v>45155</v>
      </c>
      <c r="W11">
        <v>51769.8</v>
      </c>
      <c r="Y11">
        <v>87186</v>
      </c>
      <c r="Z11">
        <v>101698</v>
      </c>
      <c r="AA11">
        <v>113049</v>
      </c>
      <c r="AB11">
        <v>125600.8</v>
      </c>
      <c r="AC11">
        <v>140671</v>
      </c>
      <c r="AD11">
        <v>166178.20000000001</v>
      </c>
      <c r="AE11">
        <v>189978.8</v>
      </c>
      <c r="AF11">
        <v>220892.4</v>
      </c>
      <c r="AG11">
        <v>282894.8</v>
      </c>
      <c r="AH11">
        <v>333491</v>
      </c>
      <c r="AJ11">
        <v>162349</v>
      </c>
      <c r="AK11">
        <v>153519.4</v>
      </c>
      <c r="AL11">
        <v>193858.8</v>
      </c>
      <c r="AM11">
        <v>201998.8</v>
      </c>
      <c r="AN11">
        <v>190968.8</v>
      </c>
      <c r="AO11">
        <v>191176.2</v>
      </c>
      <c r="AP11">
        <v>218633.4</v>
      </c>
      <c r="AQ11">
        <v>246102.2</v>
      </c>
      <c r="AR11">
        <v>376191.8</v>
      </c>
      <c r="AS11">
        <v>356531</v>
      </c>
      <c r="AU11">
        <v>1.8620994196315923</v>
      </c>
      <c r="AV11">
        <v>1.50956164329682</v>
      </c>
      <c r="AW11">
        <v>1.7148210068200516</v>
      </c>
      <c r="AX11">
        <v>1.6082604569397647</v>
      </c>
      <c r="AY11">
        <v>1.3575562838111621</v>
      </c>
      <c r="AZ11">
        <v>1.1504288769525726</v>
      </c>
      <c r="BA11">
        <v>1.1508305137204782</v>
      </c>
      <c r="BB11">
        <v>1.1141270591473496</v>
      </c>
      <c r="BC11">
        <v>1.329793972883206</v>
      </c>
      <c r="BD11">
        <v>1.0690873216968373</v>
      </c>
      <c r="BE11" t="e">
        <v>#DIV/0!</v>
      </c>
      <c r="BF11">
        <v>132457.46</v>
      </c>
      <c r="BG11">
        <v>22000.92</v>
      </c>
      <c r="BH11">
        <v>176164</v>
      </c>
      <c r="BI11">
        <v>229132.94</v>
      </c>
      <c r="BJ11">
        <v>1.3006797075452419</v>
      </c>
    </row>
    <row r="12" spans="1:62" x14ac:dyDescent="0.3">
      <c r="A12" t="s">
        <v>21</v>
      </c>
      <c r="B12" t="s">
        <v>22</v>
      </c>
      <c r="C12">
        <v>8397</v>
      </c>
      <c r="D12">
        <v>9054</v>
      </c>
      <c r="E12">
        <v>9914</v>
      </c>
      <c r="F12">
        <v>11055</v>
      </c>
      <c r="G12">
        <v>11600</v>
      </c>
      <c r="H12">
        <v>13136</v>
      </c>
      <c r="I12">
        <v>14136</v>
      </c>
      <c r="J12">
        <v>16301</v>
      </c>
      <c r="K12">
        <v>16769</v>
      </c>
      <c r="L12">
        <v>17943</v>
      </c>
      <c r="N12">
        <v>825</v>
      </c>
      <c r="O12">
        <v>885</v>
      </c>
      <c r="P12">
        <v>1004</v>
      </c>
      <c r="Q12">
        <v>1155</v>
      </c>
      <c r="R12">
        <v>1394</v>
      </c>
      <c r="S12">
        <v>1851</v>
      </c>
      <c r="T12">
        <v>1516</v>
      </c>
      <c r="U12">
        <v>2316</v>
      </c>
      <c r="V12">
        <v>2134</v>
      </c>
      <c r="W12">
        <v>2178</v>
      </c>
      <c r="Y12">
        <v>2068</v>
      </c>
      <c r="Z12">
        <v>2672</v>
      </c>
      <c r="AA12">
        <v>3382</v>
      </c>
      <c r="AB12">
        <v>4229</v>
      </c>
      <c r="AC12">
        <v>4379</v>
      </c>
      <c r="AD12">
        <v>3524</v>
      </c>
      <c r="AE12">
        <v>2534</v>
      </c>
      <c r="AF12">
        <v>3510</v>
      </c>
      <c r="AG12">
        <v>3917</v>
      </c>
      <c r="AH12">
        <v>4332</v>
      </c>
      <c r="AJ12">
        <v>131</v>
      </c>
      <c r="AK12">
        <v>125</v>
      </c>
      <c r="AL12">
        <v>201</v>
      </c>
      <c r="AM12">
        <v>156</v>
      </c>
      <c r="AN12">
        <v>1538</v>
      </c>
      <c r="AO12">
        <v>2122</v>
      </c>
      <c r="AP12">
        <v>2481</v>
      </c>
      <c r="AQ12">
        <v>2997</v>
      </c>
      <c r="AR12">
        <v>2065</v>
      </c>
      <c r="AS12">
        <v>1247</v>
      </c>
      <c r="AU12">
        <v>6.3346228239845259E-2</v>
      </c>
      <c r="AV12">
        <v>4.6781437125748504E-2</v>
      </c>
      <c r="AW12">
        <v>5.9432288586635129E-2</v>
      </c>
      <c r="AX12">
        <v>3.6888153227713411E-2</v>
      </c>
      <c r="AY12">
        <v>0.35122174012331581</v>
      </c>
      <c r="AZ12">
        <v>0.60215664018161186</v>
      </c>
      <c r="BA12">
        <v>0.97908445146014211</v>
      </c>
      <c r="BB12">
        <v>0.85384615384615381</v>
      </c>
      <c r="BC12">
        <v>0.52718917538932852</v>
      </c>
      <c r="BD12">
        <v>0.28785780240073872</v>
      </c>
      <c r="BE12" t="e">
        <v>#DIV/0!</v>
      </c>
      <c r="BF12">
        <v>12830.5</v>
      </c>
      <c r="BG12">
        <v>1525.8</v>
      </c>
      <c r="BH12">
        <v>3454.7</v>
      </c>
      <c r="BI12">
        <v>1306.3</v>
      </c>
      <c r="BJ12">
        <v>0.37812255767505137</v>
      </c>
    </row>
    <row r="13" spans="1:62" x14ac:dyDescent="0.3">
      <c r="B13" t="s">
        <v>23</v>
      </c>
      <c r="C13">
        <v>7780</v>
      </c>
      <c r="D13">
        <v>7614</v>
      </c>
      <c r="E13">
        <v>7722</v>
      </c>
      <c r="F13">
        <v>8515</v>
      </c>
      <c r="G13">
        <v>8685</v>
      </c>
      <c r="H13">
        <v>9562</v>
      </c>
      <c r="I13">
        <v>10889</v>
      </c>
      <c r="J13">
        <v>11530</v>
      </c>
      <c r="K13">
        <v>12404</v>
      </c>
      <c r="L13">
        <v>12563</v>
      </c>
      <c r="N13">
        <v>1254</v>
      </c>
      <c r="O13">
        <v>1280</v>
      </c>
      <c r="P13">
        <v>1358</v>
      </c>
      <c r="Q13">
        <v>1446</v>
      </c>
      <c r="R13">
        <v>1448</v>
      </c>
      <c r="S13">
        <v>1695</v>
      </c>
      <c r="T13">
        <v>1742</v>
      </c>
      <c r="U13">
        <v>1701</v>
      </c>
      <c r="V13">
        <v>1811</v>
      </c>
      <c r="W13">
        <v>1740</v>
      </c>
      <c r="Y13">
        <v>3995</v>
      </c>
      <c r="Z13">
        <v>4671</v>
      </c>
      <c r="AA13">
        <v>5530</v>
      </c>
      <c r="AB13">
        <v>5455</v>
      </c>
      <c r="AC13">
        <v>6429</v>
      </c>
      <c r="AD13">
        <v>7487</v>
      </c>
      <c r="AE13">
        <v>8205</v>
      </c>
      <c r="AF13">
        <v>8796</v>
      </c>
      <c r="AG13">
        <v>9689</v>
      </c>
      <c r="AH13">
        <v>10623</v>
      </c>
      <c r="AJ13">
        <v>805</v>
      </c>
      <c r="AK13">
        <v>975</v>
      </c>
      <c r="AL13">
        <v>938</v>
      </c>
      <c r="AM13">
        <v>699</v>
      </c>
      <c r="AN13">
        <v>522</v>
      </c>
      <c r="AO13">
        <v>509</v>
      </c>
      <c r="AP13">
        <v>1030</v>
      </c>
      <c r="AQ13">
        <v>1174</v>
      </c>
      <c r="AR13">
        <v>1365</v>
      </c>
      <c r="AS13">
        <v>950</v>
      </c>
      <c r="AU13">
        <v>0.20150187734668334</v>
      </c>
      <c r="AV13">
        <v>0.20873474630700065</v>
      </c>
      <c r="AW13">
        <v>0.16962025316455695</v>
      </c>
      <c r="AX13">
        <v>0.12813932172318973</v>
      </c>
      <c r="AY13">
        <v>8.1194587027531503E-2</v>
      </c>
      <c r="AZ13">
        <v>6.7984506477895015E-2</v>
      </c>
      <c r="BA13">
        <v>0.12553321145642901</v>
      </c>
      <c r="BB13">
        <v>0.13346975898135516</v>
      </c>
      <c r="BC13">
        <v>0.14088141191041387</v>
      </c>
      <c r="BD13">
        <v>8.9428598324390471E-2</v>
      </c>
      <c r="BE13" t="e">
        <v>#DIV/0!</v>
      </c>
      <c r="BF13">
        <v>9726.4</v>
      </c>
      <c r="BG13">
        <v>1547.5</v>
      </c>
      <c r="BH13">
        <v>7088</v>
      </c>
      <c r="BI13">
        <v>896.7</v>
      </c>
      <c r="BJ13">
        <v>0.12650959367945824</v>
      </c>
    </row>
    <row r="14" spans="1:62" x14ac:dyDescent="0.3">
      <c r="B14" t="s">
        <v>24</v>
      </c>
      <c r="C14">
        <v>32186</v>
      </c>
      <c r="D14">
        <v>33162</v>
      </c>
      <c r="E14">
        <v>35545</v>
      </c>
      <c r="F14">
        <v>39310</v>
      </c>
      <c r="G14">
        <v>39783</v>
      </c>
      <c r="H14">
        <v>47028</v>
      </c>
      <c r="I14">
        <v>52446</v>
      </c>
      <c r="J14">
        <v>60580</v>
      </c>
      <c r="K14">
        <v>61896</v>
      </c>
      <c r="L14">
        <v>63121</v>
      </c>
      <c r="N14">
        <v>4151</v>
      </c>
      <c r="O14">
        <v>4490</v>
      </c>
      <c r="P14">
        <v>5227</v>
      </c>
      <c r="Q14">
        <v>6060</v>
      </c>
      <c r="R14">
        <v>6756</v>
      </c>
      <c r="S14">
        <v>7999</v>
      </c>
      <c r="T14">
        <v>8892</v>
      </c>
      <c r="U14">
        <v>10143</v>
      </c>
      <c r="V14">
        <v>10282</v>
      </c>
      <c r="W14">
        <v>10671</v>
      </c>
      <c r="Y14">
        <v>6357</v>
      </c>
      <c r="Z14">
        <v>6528</v>
      </c>
      <c r="AA14">
        <v>7065</v>
      </c>
      <c r="AB14">
        <v>7651</v>
      </c>
      <c r="AC14">
        <v>8013</v>
      </c>
      <c r="AD14">
        <v>47439</v>
      </c>
      <c r="AE14">
        <v>48826</v>
      </c>
      <c r="AF14">
        <v>50069</v>
      </c>
      <c r="AG14">
        <v>50983</v>
      </c>
      <c r="AH14">
        <v>49167</v>
      </c>
      <c r="AJ14">
        <v>177</v>
      </c>
      <c r="AK14">
        <v>277</v>
      </c>
      <c r="AL14">
        <v>0</v>
      </c>
      <c r="AM14">
        <v>99</v>
      </c>
      <c r="AN14">
        <v>0</v>
      </c>
      <c r="AO14">
        <v>0</v>
      </c>
      <c r="AP14">
        <v>1043</v>
      </c>
      <c r="AQ14">
        <v>1219</v>
      </c>
      <c r="AR14">
        <v>1484</v>
      </c>
      <c r="AS14">
        <v>1648</v>
      </c>
      <c r="AU14">
        <v>2.7843322321849929E-2</v>
      </c>
      <c r="AV14">
        <v>4.2432598039215688E-2</v>
      </c>
      <c r="AW14">
        <v>0</v>
      </c>
      <c r="AX14">
        <v>1.2939485034635996E-2</v>
      </c>
      <c r="AY14">
        <v>0</v>
      </c>
      <c r="AZ14">
        <v>0</v>
      </c>
      <c r="BA14">
        <v>2.1361569655511409E-2</v>
      </c>
      <c r="BB14">
        <v>2.4346401965287902E-2</v>
      </c>
      <c r="BC14">
        <v>2.9107741796285037E-2</v>
      </c>
      <c r="BD14">
        <v>3.351841682429272E-2</v>
      </c>
      <c r="BE14" t="e">
        <v>#DIV/0!</v>
      </c>
      <c r="BF14">
        <v>46505.7</v>
      </c>
      <c r="BG14">
        <v>7467.1</v>
      </c>
      <c r="BH14">
        <v>28209.8</v>
      </c>
      <c r="BI14">
        <v>594.70000000000005</v>
      </c>
      <c r="BJ14">
        <v>2.1081326347581336E-2</v>
      </c>
    </row>
    <row r="15" spans="1:62" x14ac:dyDescent="0.3">
      <c r="B15" t="s">
        <v>25</v>
      </c>
      <c r="C15">
        <v>39192</v>
      </c>
      <c r="D15">
        <v>42768</v>
      </c>
      <c r="E15">
        <v>43449</v>
      </c>
      <c r="F15">
        <v>48340</v>
      </c>
      <c r="G15">
        <v>49388</v>
      </c>
      <c r="H15">
        <v>49257</v>
      </c>
      <c r="I15">
        <v>60645</v>
      </c>
      <c r="J15">
        <v>70919</v>
      </c>
      <c r="K15">
        <v>67932</v>
      </c>
      <c r="L15">
        <v>75323</v>
      </c>
      <c r="N15">
        <v>9501</v>
      </c>
      <c r="O15">
        <v>10477</v>
      </c>
      <c r="P15">
        <v>11493</v>
      </c>
      <c r="Q15">
        <v>12836</v>
      </c>
      <c r="R15">
        <v>15593</v>
      </c>
      <c r="S15">
        <v>13383</v>
      </c>
      <c r="T15">
        <v>15503</v>
      </c>
      <c r="U15">
        <v>19477</v>
      </c>
      <c r="V15">
        <v>20751</v>
      </c>
      <c r="W15">
        <v>35052</v>
      </c>
      <c r="Y15">
        <v>41875</v>
      </c>
      <c r="Z15">
        <v>45198</v>
      </c>
      <c r="AA15">
        <v>51290</v>
      </c>
      <c r="AB15">
        <v>57915</v>
      </c>
      <c r="AC15">
        <v>64044</v>
      </c>
      <c r="AD15">
        <v>59116</v>
      </c>
      <c r="AE15">
        <v>61223</v>
      </c>
      <c r="AF15">
        <v>67912</v>
      </c>
      <c r="AG15">
        <v>73259</v>
      </c>
      <c r="AH15">
        <v>68779</v>
      </c>
      <c r="AJ15">
        <v>84</v>
      </c>
      <c r="AK15">
        <v>46</v>
      </c>
      <c r="AL15">
        <v>36</v>
      </c>
      <c r="AM15">
        <v>13</v>
      </c>
      <c r="AN15">
        <v>277</v>
      </c>
      <c r="AO15">
        <v>271</v>
      </c>
      <c r="AP15">
        <v>249</v>
      </c>
      <c r="AQ15">
        <v>306</v>
      </c>
      <c r="AR15">
        <v>303</v>
      </c>
      <c r="AS15">
        <v>285</v>
      </c>
      <c r="AU15">
        <v>2.0059701492537315E-3</v>
      </c>
      <c r="AV15">
        <v>1.0177441479711491E-3</v>
      </c>
      <c r="AW15">
        <v>7.0189120686293624E-4</v>
      </c>
      <c r="AX15">
        <v>2.244668911335578E-4</v>
      </c>
      <c r="AY15">
        <v>4.3251514583723689E-3</v>
      </c>
      <c r="AZ15">
        <v>4.5842073211989987E-3</v>
      </c>
      <c r="BA15">
        <v>4.0670989660748415E-3</v>
      </c>
      <c r="BB15">
        <v>4.5058310755094833E-3</v>
      </c>
      <c r="BC15">
        <v>4.136010592555181E-3</v>
      </c>
      <c r="BD15">
        <v>4.1437066546474938E-3</v>
      </c>
      <c r="BE15" t="e">
        <v>#DIV/0!</v>
      </c>
      <c r="BF15">
        <v>54721.3</v>
      </c>
      <c r="BG15">
        <v>16406.599999999999</v>
      </c>
      <c r="BH15">
        <v>59061.1</v>
      </c>
      <c r="BI15">
        <v>187</v>
      </c>
      <c r="BJ15">
        <v>3.1662126171033049E-3</v>
      </c>
    </row>
    <row r="16" spans="1:62" x14ac:dyDescent="0.3">
      <c r="B16" t="s">
        <v>26</v>
      </c>
      <c r="C16">
        <v>9141</v>
      </c>
      <c r="D16">
        <v>10010</v>
      </c>
      <c r="E16">
        <v>11292</v>
      </c>
      <c r="F16">
        <v>12369</v>
      </c>
      <c r="G16">
        <v>13350</v>
      </c>
      <c r="H16">
        <v>14741</v>
      </c>
      <c r="I16">
        <v>16897</v>
      </c>
      <c r="J16">
        <v>19126</v>
      </c>
      <c r="K16">
        <v>24394</v>
      </c>
      <c r="L16">
        <v>20202</v>
      </c>
      <c r="N16">
        <v>1001</v>
      </c>
      <c r="O16">
        <v>1225</v>
      </c>
      <c r="P16">
        <v>1607</v>
      </c>
      <c r="Q16">
        <v>1968</v>
      </c>
      <c r="R16">
        <v>2082</v>
      </c>
      <c r="S16">
        <v>2118</v>
      </c>
      <c r="T16">
        <v>2391</v>
      </c>
      <c r="U16">
        <v>2999</v>
      </c>
      <c r="V16">
        <v>3933</v>
      </c>
      <c r="W16">
        <v>3314</v>
      </c>
      <c r="Y16">
        <v>3186</v>
      </c>
      <c r="Z16">
        <v>3324</v>
      </c>
      <c r="AA16">
        <v>3577</v>
      </c>
      <c r="AB16">
        <v>1822</v>
      </c>
      <c r="AC16">
        <v>1923</v>
      </c>
      <c r="AD16">
        <v>1850</v>
      </c>
      <c r="AE16">
        <v>2363</v>
      </c>
      <c r="AF16">
        <v>2363</v>
      </c>
      <c r="AG16">
        <v>3244</v>
      </c>
      <c r="AH16">
        <v>4021</v>
      </c>
      <c r="AJ16">
        <v>33</v>
      </c>
      <c r="AK16">
        <v>35</v>
      </c>
      <c r="AL16">
        <v>35</v>
      </c>
      <c r="AM16">
        <v>189</v>
      </c>
      <c r="AN16">
        <v>147</v>
      </c>
      <c r="AO16">
        <v>266</v>
      </c>
      <c r="AP16">
        <v>271</v>
      </c>
      <c r="AQ16">
        <v>271</v>
      </c>
      <c r="AR16">
        <v>345</v>
      </c>
      <c r="AS16">
        <v>1167</v>
      </c>
      <c r="AU16">
        <v>1.0357815442561206E-2</v>
      </c>
      <c r="AV16">
        <v>1.05294825511432E-2</v>
      </c>
      <c r="AW16">
        <v>9.7847358121330719E-3</v>
      </c>
      <c r="AX16">
        <v>0.10373216245883644</v>
      </c>
      <c r="AY16">
        <v>7.6443057722308888E-2</v>
      </c>
      <c r="AZ16">
        <v>0.14378378378378379</v>
      </c>
      <c r="BA16">
        <v>0.1146847228099873</v>
      </c>
      <c r="BB16">
        <v>0.1146847228099873</v>
      </c>
      <c r="BC16">
        <v>0.1063501849568434</v>
      </c>
      <c r="BD16">
        <v>0.29022631186272074</v>
      </c>
      <c r="BE16" t="e">
        <v>#DIV/0!</v>
      </c>
      <c r="BF16">
        <v>15152.2</v>
      </c>
      <c r="BG16">
        <v>2263.8000000000002</v>
      </c>
      <c r="BH16">
        <v>2767.3</v>
      </c>
      <c r="BI16">
        <v>275.89999999999998</v>
      </c>
      <c r="BJ16">
        <v>9.9700068658981678E-2</v>
      </c>
    </row>
    <row r="17" spans="1:62" x14ac:dyDescent="0.3">
      <c r="A17" t="s">
        <v>27</v>
      </c>
      <c r="C17">
        <v>19339.2</v>
      </c>
      <c r="D17">
        <v>20521.599999999999</v>
      </c>
      <c r="E17">
        <v>21584.400000000001</v>
      </c>
      <c r="F17">
        <v>23917.8</v>
      </c>
      <c r="G17">
        <v>24561.200000000001</v>
      </c>
      <c r="H17">
        <v>26744.799999999999</v>
      </c>
      <c r="I17">
        <v>31002.6</v>
      </c>
      <c r="J17">
        <v>35691.199999999997</v>
      </c>
      <c r="K17">
        <v>36679</v>
      </c>
      <c r="L17">
        <v>37830.400000000001</v>
      </c>
      <c r="N17">
        <v>3346.4</v>
      </c>
      <c r="O17">
        <v>3671.4</v>
      </c>
      <c r="P17">
        <v>4137.8</v>
      </c>
      <c r="Q17">
        <v>4693</v>
      </c>
      <c r="R17">
        <v>5454.6</v>
      </c>
      <c r="S17">
        <v>5409.2</v>
      </c>
      <c r="T17">
        <v>6008.8</v>
      </c>
      <c r="U17">
        <v>7327.2</v>
      </c>
      <c r="V17">
        <v>7782.2</v>
      </c>
      <c r="W17">
        <v>10591</v>
      </c>
      <c r="Y17">
        <v>11496.2</v>
      </c>
      <c r="Z17">
        <v>12478.6</v>
      </c>
      <c r="AA17">
        <v>14168.8</v>
      </c>
      <c r="AB17">
        <v>15414.4</v>
      </c>
      <c r="AC17">
        <v>16957.599999999999</v>
      </c>
      <c r="AD17">
        <v>23883.200000000001</v>
      </c>
      <c r="AE17">
        <v>24630.2</v>
      </c>
      <c r="AF17">
        <v>26530</v>
      </c>
      <c r="AG17">
        <v>28218.400000000001</v>
      </c>
      <c r="AH17">
        <v>27384.400000000001</v>
      </c>
      <c r="AJ17">
        <v>246</v>
      </c>
      <c r="AK17">
        <v>291.60000000000002</v>
      </c>
      <c r="AL17">
        <v>242</v>
      </c>
      <c r="AM17">
        <v>231.2</v>
      </c>
      <c r="AN17">
        <v>496.8</v>
      </c>
      <c r="AO17">
        <v>633.6</v>
      </c>
      <c r="AP17">
        <v>1014.8</v>
      </c>
      <c r="AQ17">
        <v>1193.4000000000001</v>
      </c>
      <c r="AR17">
        <v>1112.4000000000001</v>
      </c>
      <c r="AS17">
        <v>1059.4000000000001</v>
      </c>
      <c r="AU17">
        <v>2.1398375115255476E-2</v>
      </c>
      <c r="AV17">
        <v>2.3368006026317056E-2</v>
      </c>
      <c r="AW17">
        <v>1.7079780927107446E-2</v>
      </c>
      <c r="AX17">
        <v>1.4998962009549512E-2</v>
      </c>
      <c r="AY17">
        <v>2.9296598575270085E-2</v>
      </c>
      <c r="AZ17">
        <v>2.6529108327192335E-2</v>
      </c>
      <c r="BA17">
        <v>4.120145187615204E-2</v>
      </c>
      <c r="BB17">
        <v>4.498303807010931E-2</v>
      </c>
      <c r="BC17">
        <v>3.9421086950358633E-2</v>
      </c>
      <c r="BD17">
        <v>3.8686259330129563E-2</v>
      </c>
      <c r="BE17" t="e">
        <v>#DIV/0!</v>
      </c>
      <c r="BF17">
        <v>27787.22</v>
      </c>
      <c r="BG17">
        <v>5842.16</v>
      </c>
      <c r="BH17">
        <v>20116.18</v>
      </c>
      <c r="BI17">
        <v>652.12</v>
      </c>
      <c r="BJ17">
        <v>3.2417685663977951E-2</v>
      </c>
    </row>
    <row r="18" spans="1:62" x14ac:dyDescent="0.3">
      <c r="A18" t="s">
        <v>28</v>
      </c>
      <c r="B18" t="s">
        <v>29</v>
      </c>
      <c r="C18">
        <v>7109</v>
      </c>
      <c r="D18">
        <v>8439</v>
      </c>
      <c r="E18">
        <v>11323</v>
      </c>
      <c r="F18">
        <v>10925</v>
      </c>
      <c r="G18">
        <v>11873</v>
      </c>
      <c r="H18">
        <v>12550</v>
      </c>
      <c r="I18">
        <v>17119</v>
      </c>
      <c r="J18">
        <v>20852</v>
      </c>
      <c r="K18">
        <v>26711</v>
      </c>
      <c r="L18">
        <v>30475</v>
      </c>
      <c r="N18">
        <v>2856</v>
      </c>
      <c r="O18">
        <v>3902</v>
      </c>
      <c r="P18">
        <v>3690</v>
      </c>
      <c r="Q18">
        <v>4045</v>
      </c>
      <c r="R18">
        <v>3785</v>
      </c>
      <c r="S18">
        <v>5049</v>
      </c>
      <c r="T18">
        <v>4953</v>
      </c>
      <c r="U18">
        <v>5391</v>
      </c>
      <c r="V18">
        <v>8104</v>
      </c>
      <c r="W18">
        <v>11061</v>
      </c>
      <c r="Y18">
        <v>13091</v>
      </c>
      <c r="Z18">
        <v>17112</v>
      </c>
      <c r="AA18">
        <v>20489</v>
      </c>
      <c r="AB18">
        <v>23958</v>
      </c>
      <c r="AC18">
        <v>25051</v>
      </c>
      <c r="AD18">
        <v>30035</v>
      </c>
      <c r="AE18">
        <v>41399</v>
      </c>
      <c r="AF18">
        <v>44957</v>
      </c>
      <c r="AG18">
        <v>52346</v>
      </c>
      <c r="AH18">
        <v>61837</v>
      </c>
      <c r="AJ18">
        <v>22342</v>
      </c>
      <c r="AK18">
        <v>22214</v>
      </c>
      <c r="AL18">
        <v>22370</v>
      </c>
      <c r="AM18">
        <v>27712</v>
      </c>
      <c r="AN18">
        <v>30242</v>
      </c>
      <c r="AO18">
        <v>35855</v>
      </c>
      <c r="AP18">
        <v>47935</v>
      </c>
      <c r="AQ18">
        <v>53434</v>
      </c>
      <c r="AR18">
        <v>49470</v>
      </c>
      <c r="AS18">
        <v>51621</v>
      </c>
      <c r="AU18">
        <v>1.7066687036895578</v>
      </c>
      <c r="AV18">
        <v>1.298153342683497</v>
      </c>
      <c r="AW18">
        <v>1.0918053589731076</v>
      </c>
      <c r="AX18">
        <v>1.1566908756991401</v>
      </c>
      <c r="AY18">
        <v>1.207217276755419</v>
      </c>
      <c r="AZ18">
        <v>1.1937739304145163</v>
      </c>
      <c r="BA18">
        <v>1.1578782096185898</v>
      </c>
      <c r="BB18">
        <v>1.1885579553795849</v>
      </c>
      <c r="BC18">
        <v>0.9450578840790127</v>
      </c>
      <c r="BD18">
        <v>0.83479146789139191</v>
      </c>
      <c r="BE18" t="e">
        <v>#DIV/0!</v>
      </c>
      <c r="BF18">
        <v>15737.6</v>
      </c>
      <c r="BG18">
        <v>5283.6</v>
      </c>
      <c r="BH18">
        <v>33027.5</v>
      </c>
      <c r="BI18">
        <v>36319.5</v>
      </c>
      <c r="BJ18">
        <v>1.0996745136628567</v>
      </c>
    </row>
    <row r="19" spans="1:62" x14ac:dyDescent="0.3">
      <c r="B19" t="s">
        <v>30</v>
      </c>
      <c r="C19">
        <v>8261</v>
      </c>
      <c r="D19">
        <v>9557</v>
      </c>
      <c r="E19">
        <v>8556</v>
      </c>
      <c r="F19">
        <v>7411</v>
      </c>
      <c r="G19">
        <v>8395</v>
      </c>
      <c r="H19">
        <v>3566</v>
      </c>
      <c r="I19">
        <v>4601</v>
      </c>
      <c r="J19">
        <v>6674</v>
      </c>
      <c r="K19">
        <v>8755</v>
      </c>
      <c r="L19">
        <v>10414</v>
      </c>
      <c r="N19">
        <v>-2749</v>
      </c>
      <c r="O19">
        <v>-347</v>
      </c>
      <c r="P19">
        <v>-1115</v>
      </c>
      <c r="Q19">
        <v>-3356</v>
      </c>
      <c r="R19">
        <v>-2202</v>
      </c>
      <c r="S19">
        <v>-3428</v>
      </c>
      <c r="T19">
        <v>-1131</v>
      </c>
      <c r="U19">
        <v>-840</v>
      </c>
      <c r="V19">
        <v>-828</v>
      </c>
      <c r="W19">
        <v>-817</v>
      </c>
      <c r="Y19">
        <v>4387</v>
      </c>
      <c r="Z19">
        <v>4739</v>
      </c>
      <c r="AA19">
        <v>2842</v>
      </c>
      <c r="AB19">
        <v>-1057</v>
      </c>
      <c r="AC19">
        <v>-3062</v>
      </c>
      <c r="AD19">
        <v>-2322</v>
      </c>
      <c r="AE19">
        <v>-1421</v>
      </c>
      <c r="AF19">
        <v>-1396</v>
      </c>
      <c r="AG19">
        <v>-2768</v>
      </c>
      <c r="AH19">
        <v>-3559</v>
      </c>
      <c r="AJ19">
        <v>39444</v>
      </c>
      <c r="AK19">
        <v>21484</v>
      </c>
      <c r="AL19">
        <v>23411</v>
      </c>
      <c r="AM19">
        <v>27580</v>
      </c>
      <c r="AN19">
        <v>34442</v>
      </c>
      <c r="AO19">
        <v>36864</v>
      </c>
      <c r="AP19">
        <v>26633</v>
      </c>
      <c r="AQ19">
        <v>32157</v>
      </c>
      <c r="AR19">
        <v>35905</v>
      </c>
      <c r="AS19">
        <v>38218</v>
      </c>
      <c r="AU19">
        <v>8.9911100980168683</v>
      </c>
      <c r="AV19">
        <v>4.5334458746571009</v>
      </c>
      <c r="AW19">
        <v>8.2375087966220963</v>
      </c>
      <c r="AX19">
        <v>-26.09271523178808</v>
      </c>
      <c r="AY19">
        <v>-11.248203788373612</v>
      </c>
      <c r="AZ19">
        <v>-15.875968992248062</v>
      </c>
      <c r="BA19">
        <v>-18.742434904996482</v>
      </c>
      <c r="BB19">
        <v>-23.035100286532952</v>
      </c>
      <c r="BC19">
        <v>-12.971459537572255</v>
      </c>
      <c r="BD19">
        <v>-10.738409665636414</v>
      </c>
      <c r="BE19" t="e">
        <v>#DIV/0!</v>
      </c>
      <c r="BF19">
        <v>7619</v>
      </c>
      <c r="BG19">
        <v>-1681.3</v>
      </c>
      <c r="BH19">
        <v>-361.7</v>
      </c>
      <c r="BI19">
        <v>31613.8</v>
      </c>
      <c r="BJ19">
        <v>-87.403372961017425</v>
      </c>
    </row>
    <row r="20" spans="1:62" x14ac:dyDescent="0.3">
      <c r="B20" t="s">
        <v>31</v>
      </c>
      <c r="C20">
        <v>5128</v>
      </c>
      <c r="D20">
        <v>5846</v>
      </c>
      <c r="E20">
        <v>5694</v>
      </c>
      <c r="F20">
        <v>6707</v>
      </c>
      <c r="G20">
        <v>6852</v>
      </c>
      <c r="H20">
        <v>5299</v>
      </c>
      <c r="I20">
        <v>5804</v>
      </c>
      <c r="J20">
        <v>6402</v>
      </c>
      <c r="K20">
        <v>7409</v>
      </c>
      <c r="L20">
        <v>7613</v>
      </c>
      <c r="N20">
        <v>640</v>
      </c>
      <c r="O20">
        <v>715</v>
      </c>
      <c r="P20">
        <v>920</v>
      </c>
      <c r="Q20">
        <v>850</v>
      </c>
      <c r="R20">
        <v>721</v>
      </c>
      <c r="S20">
        <v>117</v>
      </c>
      <c r="T20">
        <v>361</v>
      </c>
      <c r="U20">
        <v>720</v>
      </c>
      <c r="V20">
        <v>606</v>
      </c>
      <c r="W20">
        <v>6481</v>
      </c>
      <c r="Y20">
        <v>4485</v>
      </c>
      <c r="Z20">
        <v>4920</v>
      </c>
      <c r="AA20">
        <v>5341</v>
      </c>
      <c r="AB20">
        <v>5964</v>
      </c>
      <c r="AC20">
        <v>6331</v>
      </c>
      <c r="AD20">
        <v>6549</v>
      </c>
      <c r="AE20">
        <v>11962</v>
      </c>
      <c r="AF20">
        <v>12775</v>
      </c>
      <c r="AG20">
        <v>13141</v>
      </c>
      <c r="AH20">
        <v>19223</v>
      </c>
      <c r="AJ20">
        <v>15626</v>
      </c>
      <c r="AK20">
        <v>13963</v>
      </c>
      <c r="AL20">
        <v>13832</v>
      </c>
      <c r="AM20">
        <v>16599</v>
      </c>
      <c r="AN20">
        <v>9205</v>
      </c>
      <c r="AO20">
        <v>19219</v>
      </c>
      <c r="AP20">
        <v>16697</v>
      </c>
      <c r="AQ20">
        <v>16748</v>
      </c>
      <c r="AR20">
        <v>18653</v>
      </c>
      <c r="AS20">
        <v>20599</v>
      </c>
      <c r="AU20">
        <v>3.4840579710144928</v>
      </c>
      <c r="AV20">
        <v>2.8380081300813007</v>
      </c>
      <c r="AW20">
        <v>2.5897771952817825</v>
      </c>
      <c r="AX20">
        <v>2.7831991951710262</v>
      </c>
      <c r="AY20">
        <v>1.4539567208971726</v>
      </c>
      <c r="AZ20">
        <v>2.9346465109176973</v>
      </c>
      <c r="BA20">
        <v>1.3958368165858552</v>
      </c>
      <c r="BB20">
        <v>1.3109980430528376</v>
      </c>
      <c r="BC20">
        <v>1.4194505745377064</v>
      </c>
      <c r="BD20">
        <v>1.0715809186911511</v>
      </c>
      <c r="BE20" t="e">
        <v>#DIV/0!</v>
      </c>
      <c r="BF20">
        <v>6275.4</v>
      </c>
      <c r="BG20">
        <v>1213.0999999999999</v>
      </c>
      <c r="BH20">
        <v>9069.1</v>
      </c>
      <c r="BI20">
        <v>16114.1</v>
      </c>
      <c r="BJ20">
        <v>1.7768135757682681</v>
      </c>
    </row>
    <row r="21" spans="1:62" x14ac:dyDescent="0.3">
      <c r="B21" t="s">
        <v>32</v>
      </c>
      <c r="D21">
        <v>888</v>
      </c>
      <c r="E21">
        <v>998</v>
      </c>
      <c r="F21">
        <v>1080</v>
      </c>
      <c r="G21">
        <v>1143</v>
      </c>
      <c r="H21">
        <v>1604</v>
      </c>
      <c r="I21">
        <v>2273</v>
      </c>
      <c r="J21">
        <v>3195</v>
      </c>
      <c r="K21">
        <v>3763</v>
      </c>
      <c r="L21">
        <v>4476</v>
      </c>
      <c r="O21">
        <v>310</v>
      </c>
      <c r="P21">
        <v>281</v>
      </c>
      <c r="Q21">
        <v>272</v>
      </c>
      <c r="R21">
        <v>197</v>
      </c>
      <c r="S21">
        <v>285</v>
      </c>
      <c r="T21">
        <v>330</v>
      </c>
      <c r="U21">
        <v>750</v>
      </c>
      <c r="V21">
        <v>1161</v>
      </c>
      <c r="W21">
        <v>1521</v>
      </c>
      <c r="Z21">
        <v>1798</v>
      </c>
      <c r="AA21">
        <v>2553</v>
      </c>
      <c r="AB21">
        <v>2827</v>
      </c>
      <c r="AC21">
        <v>2488</v>
      </c>
      <c r="AD21">
        <v>2831</v>
      </c>
      <c r="AE21">
        <v>3212</v>
      </c>
      <c r="AF21">
        <v>3635</v>
      </c>
      <c r="AG21">
        <v>7616</v>
      </c>
      <c r="AH21">
        <v>9282</v>
      </c>
      <c r="AK21">
        <v>1599</v>
      </c>
      <c r="AL21">
        <v>1732</v>
      </c>
      <c r="AM21">
        <v>2051</v>
      </c>
      <c r="AN21">
        <v>3103</v>
      </c>
      <c r="AO21">
        <v>3946</v>
      </c>
      <c r="AP21">
        <v>4740</v>
      </c>
      <c r="AQ21">
        <v>4568</v>
      </c>
      <c r="AR21">
        <v>4758</v>
      </c>
      <c r="AS21">
        <v>5042</v>
      </c>
      <c r="AU21" t="e">
        <v>#DIV/0!</v>
      </c>
      <c r="AV21">
        <v>0.88932146829810899</v>
      </c>
      <c r="AW21">
        <v>0.67841754798276532</v>
      </c>
      <c r="AX21">
        <v>0.72550406791651922</v>
      </c>
      <c r="AY21">
        <v>1.2471864951768488</v>
      </c>
      <c r="AZ21">
        <v>1.3938537619215825</v>
      </c>
      <c r="BA21">
        <v>1.4757160647571606</v>
      </c>
      <c r="BB21">
        <v>1.2566712517193948</v>
      </c>
      <c r="BC21">
        <v>0.62473739495798319</v>
      </c>
      <c r="BD21">
        <v>0.54320189614307257</v>
      </c>
      <c r="BE21" t="e">
        <v>#DIV/0!</v>
      </c>
      <c r="BF21">
        <v>2157.7777777777778</v>
      </c>
      <c r="BG21">
        <v>567.44444444444446</v>
      </c>
      <c r="BH21">
        <v>4026.8888888888887</v>
      </c>
      <c r="BI21">
        <v>3504.3333333333335</v>
      </c>
      <c r="BJ21">
        <v>0.87023343082611337</v>
      </c>
    </row>
    <row r="22" spans="1:62" x14ac:dyDescent="0.3">
      <c r="B22" t="s">
        <v>33</v>
      </c>
      <c r="C22">
        <v>101122</v>
      </c>
      <c r="D22">
        <v>109312</v>
      </c>
      <c r="E22">
        <v>119683</v>
      </c>
      <c r="F22">
        <v>135220</v>
      </c>
      <c r="G22">
        <v>145452</v>
      </c>
      <c r="H22">
        <v>135979</v>
      </c>
      <c r="I22">
        <v>156521</v>
      </c>
      <c r="J22">
        <v>183341</v>
      </c>
      <c r="K22">
        <v>221113</v>
      </c>
      <c r="L22">
        <v>255734</v>
      </c>
      <c r="N22">
        <v>4592</v>
      </c>
      <c r="O22">
        <v>6486</v>
      </c>
      <c r="P22">
        <v>8004</v>
      </c>
      <c r="Q22">
        <v>10217</v>
      </c>
      <c r="R22">
        <v>10894</v>
      </c>
      <c r="S22">
        <v>12921</v>
      </c>
      <c r="T22">
        <v>10419</v>
      </c>
      <c r="U22">
        <v>12531</v>
      </c>
      <c r="V22">
        <v>15547</v>
      </c>
      <c r="W22">
        <v>17673</v>
      </c>
      <c r="Y22">
        <v>43994</v>
      </c>
      <c r="Z22">
        <v>50030</v>
      </c>
      <c r="AA22">
        <v>54623</v>
      </c>
      <c r="AB22">
        <v>62094</v>
      </c>
      <c r="AC22">
        <v>66442</v>
      </c>
      <c r="AD22">
        <v>75588</v>
      </c>
      <c r="AE22">
        <v>82127</v>
      </c>
      <c r="AF22">
        <v>89045</v>
      </c>
      <c r="AG22">
        <v>86084</v>
      </c>
      <c r="AH22">
        <v>97381</v>
      </c>
      <c r="AJ22">
        <v>88135</v>
      </c>
      <c r="AK22">
        <v>93954</v>
      </c>
      <c r="AL22">
        <v>107524</v>
      </c>
      <c r="AM22">
        <v>125555</v>
      </c>
      <c r="AN22">
        <v>143174</v>
      </c>
      <c r="AO22">
        <v>134629</v>
      </c>
      <c r="AP22">
        <v>125508</v>
      </c>
      <c r="AQ22">
        <v>120650</v>
      </c>
      <c r="AR22">
        <v>116322</v>
      </c>
      <c r="AS22">
        <v>132409</v>
      </c>
      <c r="AU22">
        <v>2.0033413647315541</v>
      </c>
      <c r="AV22">
        <v>1.8779532280631621</v>
      </c>
      <c r="AW22">
        <v>1.9684748182999836</v>
      </c>
      <c r="AX22">
        <v>2.0220150095017231</v>
      </c>
      <c r="AY22">
        <v>2.1548719183648899</v>
      </c>
      <c r="AZ22">
        <v>1.781089590940361</v>
      </c>
      <c r="BA22">
        <v>1.5282184908738905</v>
      </c>
      <c r="BB22">
        <v>1.3549328990959628</v>
      </c>
      <c r="BC22">
        <v>1.3512615584777659</v>
      </c>
      <c r="BD22">
        <v>1.3597005576036394</v>
      </c>
      <c r="BE22" t="e">
        <v>#DIV/0!</v>
      </c>
      <c r="BF22">
        <v>156347.70000000001</v>
      </c>
      <c r="BG22">
        <v>10928.4</v>
      </c>
      <c r="BH22">
        <v>70740.800000000003</v>
      </c>
      <c r="BI22">
        <v>118786</v>
      </c>
      <c r="BJ22">
        <v>1.6791724153529506</v>
      </c>
    </row>
    <row r="23" spans="1:62" x14ac:dyDescent="0.3">
      <c r="A23" t="s">
        <v>34</v>
      </c>
      <c r="C23">
        <v>30405</v>
      </c>
      <c r="D23">
        <v>26808.400000000001</v>
      </c>
      <c r="E23">
        <v>29250.799999999999</v>
      </c>
      <c r="F23">
        <v>32268.6</v>
      </c>
      <c r="G23">
        <v>34743</v>
      </c>
      <c r="H23">
        <v>31799.599999999999</v>
      </c>
      <c r="I23">
        <v>37263.599999999999</v>
      </c>
      <c r="J23">
        <v>44092.800000000003</v>
      </c>
      <c r="K23">
        <v>53550.2</v>
      </c>
      <c r="L23">
        <v>61742.400000000001</v>
      </c>
      <c r="N23">
        <v>1334.75</v>
      </c>
      <c r="O23">
        <v>2213.1999999999998</v>
      </c>
      <c r="P23">
        <v>2356</v>
      </c>
      <c r="Q23">
        <v>2405.6</v>
      </c>
      <c r="R23">
        <v>2679</v>
      </c>
      <c r="S23">
        <v>2988.8</v>
      </c>
      <c r="T23">
        <v>2986.4</v>
      </c>
      <c r="U23">
        <v>3710.4</v>
      </c>
      <c r="V23">
        <v>4918</v>
      </c>
      <c r="W23">
        <v>7183.8</v>
      </c>
      <c r="Y23">
        <v>16489.25</v>
      </c>
      <c r="Z23">
        <v>15719.8</v>
      </c>
      <c r="AA23">
        <v>17169.599999999999</v>
      </c>
      <c r="AB23">
        <v>18757.2</v>
      </c>
      <c r="AC23">
        <v>19450</v>
      </c>
      <c r="AD23">
        <v>22536.2</v>
      </c>
      <c r="AE23">
        <v>27455.8</v>
      </c>
      <c r="AF23">
        <v>29803.200000000001</v>
      </c>
      <c r="AG23">
        <v>31283.8</v>
      </c>
      <c r="AH23">
        <v>36832.800000000003</v>
      </c>
      <c r="AJ23">
        <v>41386.75</v>
      </c>
      <c r="AK23">
        <v>30642.799999999999</v>
      </c>
      <c r="AL23">
        <v>33773.800000000003</v>
      </c>
      <c r="AM23">
        <v>39899.4</v>
      </c>
      <c r="AN23">
        <v>44033.2</v>
      </c>
      <c r="AO23">
        <v>46102.6</v>
      </c>
      <c r="AP23">
        <v>44302.6</v>
      </c>
      <c r="AQ23">
        <v>45511.4</v>
      </c>
      <c r="AR23">
        <v>45021.599999999999</v>
      </c>
      <c r="AS23">
        <v>49577.8</v>
      </c>
      <c r="AU23">
        <v>2.5099231317373438</v>
      </c>
      <c r="AV23">
        <v>1.9493123322179671</v>
      </c>
      <c r="AW23">
        <v>1.9670697045941665</v>
      </c>
      <c r="AX23">
        <v>2.1271511739492035</v>
      </c>
      <c r="AY23">
        <v>2.2639177377892032</v>
      </c>
      <c r="AZ23">
        <v>2.0457131193368889</v>
      </c>
      <c r="BA23">
        <v>1.6135971270186991</v>
      </c>
      <c r="BB23">
        <v>1.5270642078702958</v>
      </c>
      <c r="BC23">
        <v>1.4391346319820482</v>
      </c>
      <c r="BD23">
        <v>1.3460231098368844</v>
      </c>
      <c r="BE23" t="e">
        <v>#DIV/0!</v>
      </c>
      <c r="BF23">
        <v>38351.367346938772</v>
      </c>
      <c r="BG23">
        <v>3317.2448979591836</v>
      </c>
      <c r="BH23">
        <v>23693.857142857141</v>
      </c>
      <c r="BI23">
        <v>42038.224489795917</v>
      </c>
      <c r="BJ23">
        <v>1.7742246117352383</v>
      </c>
    </row>
    <row r="24" spans="1:62" x14ac:dyDescent="0.3">
      <c r="A24" t="s">
        <v>35</v>
      </c>
      <c r="B24" t="s">
        <v>36</v>
      </c>
      <c r="C24">
        <v>31136</v>
      </c>
      <c r="D24">
        <v>47568</v>
      </c>
      <c r="E24">
        <v>50569</v>
      </c>
      <c r="F24">
        <v>60427</v>
      </c>
      <c r="G24">
        <v>70676</v>
      </c>
      <c r="H24">
        <v>75379</v>
      </c>
      <c r="I24">
        <v>85651</v>
      </c>
      <c r="J24">
        <v>101456</v>
      </c>
      <c r="K24">
        <v>109913</v>
      </c>
      <c r="L24">
        <v>117055</v>
      </c>
      <c r="N24">
        <v>5602</v>
      </c>
      <c r="O24">
        <v>8606</v>
      </c>
      <c r="P24">
        <v>8722</v>
      </c>
      <c r="Q24">
        <v>10120</v>
      </c>
      <c r="R24">
        <v>11057</v>
      </c>
      <c r="S24">
        <v>11169</v>
      </c>
      <c r="T24">
        <v>13523</v>
      </c>
      <c r="U24">
        <v>14845</v>
      </c>
      <c r="V24">
        <v>15710</v>
      </c>
      <c r="W24">
        <v>17399</v>
      </c>
      <c r="Y24">
        <v>27109</v>
      </c>
      <c r="Z24">
        <v>32664</v>
      </c>
      <c r="AA24">
        <v>36108</v>
      </c>
      <c r="AB24">
        <v>41095</v>
      </c>
      <c r="AC24">
        <v>50724</v>
      </c>
      <c r="AD24">
        <v>59370</v>
      </c>
      <c r="AE24">
        <v>61371</v>
      </c>
      <c r="AF24">
        <v>64862</v>
      </c>
      <c r="AG24">
        <v>67720</v>
      </c>
      <c r="AH24">
        <v>69112</v>
      </c>
      <c r="AJ24">
        <v>1090</v>
      </c>
      <c r="AK24">
        <v>582</v>
      </c>
      <c r="AL24">
        <v>557</v>
      </c>
      <c r="AM24">
        <v>4195</v>
      </c>
      <c r="AN24">
        <v>7986</v>
      </c>
      <c r="AO24">
        <v>6864</v>
      </c>
      <c r="AP24">
        <v>6343</v>
      </c>
      <c r="AQ24">
        <v>4794</v>
      </c>
      <c r="AR24">
        <v>5758</v>
      </c>
      <c r="AS24">
        <v>6276</v>
      </c>
      <c r="AU24">
        <v>4.0208048987421155E-2</v>
      </c>
      <c r="AV24">
        <v>1.7817781043350477E-2</v>
      </c>
      <c r="AW24">
        <v>1.5425944389055058E-2</v>
      </c>
      <c r="AX24">
        <v>0.10208054507847671</v>
      </c>
      <c r="AY24">
        <v>0.15744026496333097</v>
      </c>
      <c r="AZ24">
        <v>0.11561394643759475</v>
      </c>
      <c r="BA24">
        <v>0.10335500480683059</v>
      </c>
      <c r="BB24">
        <v>7.3910764392093986E-2</v>
      </c>
      <c r="BC24">
        <v>8.5026580035440044E-2</v>
      </c>
      <c r="BD24">
        <v>9.0809121426090988E-2</v>
      </c>
      <c r="BE24" t="e">
        <v>#DIV/0!</v>
      </c>
      <c r="BF24">
        <v>74983</v>
      </c>
      <c r="BG24">
        <v>11675.3</v>
      </c>
      <c r="BH24">
        <v>51013.5</v>
      </c>
      <c r="BI24">
        <v>4444.5</v>
      </c>
      <c r="BJ24">
        <v>8.7123996589138164E-2</v>
      </c>
    </row>
    <row r="25" spans="1:62" x14ac:dyDescent="0.3">
      <c r="B25" t="s">
        <v>37</v>
      </c>
      <c r="C25">
        <v>53319</v>
      </c>
      <c r="D25">
        <v>62441</v>
      </c>
      <c r="E25">
        <v>68484</v>
      </c>
      <c r="F25">
        <v>70522</v>
      </c>
      <c r="G25">
        <v>82675</v>
      </c>
      <c r="H25">
        <v>90791</v>
      </c>
      <c r="I25">
        <v>100472</v>
      </c>
      <c r="J25">
        <v>121641</v>
      </c>
      <c r="K25">
        <v>146767</v>
      </c>
      <c r="L25">
        <v>162990</v>
      </c>
      <c r="N25">
        <v>12372</v>
      </c>
      <c r="O25">
        <v>13489</v>
      </c>
      <c r="P25">
        <v>14353</v>
      </c>
      <c r="Q25">
        <v>16029</v>
      </c>
      <c r="R25">
        <v>15410</v>
      </c>
      <c r="S25">
        <v>16639</v>
      </c>
      <c r="T25">
        <v>19423</v>
      </c>
      <c r="U25">
        <v>22146</v>
      </c>
      <c r="V25">
        <v>24108</v>
      </c>
      <c r="W25">
        <v>26750</v>
      </c>
      <c r="Y25">
        <v>50164</v>
      </c>
      <c r="Z25">
        <v>60600</v>
      </c>
      <c r="AA25">
        <v>67838</v>
      </c>
      <c r="AB25">
        <v>63835</v>
      </c>
      <c r="AC25">
        <v>62778</v>
      </c>
      <c r="AD25">
        <v>63328</v>
      </c>
      <c r="AE25">
        <v>74227</v>
      </c>
      <c r="AF25">
        <v>73252</v>
      </c>
      <c r="AG25">
        <v>73338</v>
      </c>
      <c r="AH25">
        <v>93745</v>
      </c>
      <c r="AJ25">
        <v>0</v>
      </c>
      <c r="AK25">
        <v>0</v>
      </c>
      <c r="AL25">
        <v>0</v>
      </c>
      <c r="AM25">
        <v>0</v>
      </c>
      <c r="AN25">
        <v>0</v>
      </c>
      <c r="AO25">
        <v>4633</v>
      </c>
      <c r="AP25">
        <v>5325</v>
      </c>
      <c r="AQ25">
        <v>5474</v>
      </c>
      <c r="AR25">
        <v>8299</v>
      </c>
      <c r="AS25">
        <v>8227</v>
      </c>
      <c r="AU25">
        <v>0</v>
      </c>
      <c r="AV25">
        <v>0</v>
      </c>
      <c r="AW25">
        <v>0</v>
      </c>
      <c r="AX25">
        <v>0</v>
      </c>
      <c r="AY25">
        <v>0</v>
      </c>
      <c r="AZ25">
        <v>7.3158792319353211E-2</v>
      </c>
      <c r="BA25">
        <v>7.1739394021043554E-2</v>
      </c>
      <c r="BB25">
        <v>7.4728335062523896E-2</v>
      </c>
      <c r="BC25">
        <v>0.11316098066486678</v>
      </c>
      <c r="BD25">
        <v>8.7759347165182147E-2</v>
      </c>
      <c r="BE25" t="e">
        <v>#DIV/0!</v>
      </c>
      <c r="BF25">
        <v>96010.2</v>
      </c>
      <c r="BG25">
        <v>18071.900000000001</v>
      </c>
      <c r="BH25">
        <v>68310.5</v>
      </c>
      <c r="BI25">
        <v>3195.8</v>
      </c>
      <c r="BJ25">
        <v>4.6783437392494562E-2</v>
      </c>
    </row>
    <row r="26" spans="1:62" x14ac:dyDescent="0.3">
      <c r="B26" t="s">
        <v>38</v>
      </c>
      <c r="C26">
        <v>108646</v>
      </c>
      <c r="D26">
        <v>117966</v>
      </c>
      <c r="E26">
        <v>123104</v>
      </c>
      <c r="F26">
        <v>146463</v>
      </c>
      <c r="G26">
        <v>156949</v>
      </c>
      <c r="H26">
        <v>164177</v>
      </c>
      <c r="I26">
        <v>191754</v>
      </c>
      <c r="J26">
        <v>225458</v>
      </c>
      <c r="K26">
        <v>240893</v>
      </c>
      <c r="L26">
        <v>255324</v>
      </c>
      <c r="N26">
        <v>24338</v>
      </c>
      <c r="O26">
        <v>26357</v>
      </c>
      <c r="P26">
        <v>25880</v>
      </c>
      <c r="Q26">
        <v>31562</v>
      </c>
      <c r="R26">
        <v>32447</v>
      </c>
      <c r="S26">
        <v>32562</v>
      </c>
      <c r="T26">
        <v>38449</v>
      </c>
      <c r="U26">
        <v>42303</v>
      </c>
      <c r="V26">
        <v>46099</v>
      </c>
      <c r="W26">
        <v>48797</v>
      </c>
      <c r="Y26">
        <v>70875</v>
      </c>
      <c r="Z26">
        <v>86017</v>
      </c>
      <c r="AA26">
        <v>84937</v>
      </c>
      <c r="AB26">
        <v>89071</v>
      </c>
      <c r="AC26">
        <v>83751</v>
      </c>
      <c r="AD26">
        <v>86063</v>
      </c>
      <c r="AE26">
        <v>88773</v>
      </c>
      <c r="AF26">
        <v>90058</v>
      </c>
      <c r="AG26">
        <v>90127</v>
      </c>
      <c r="AH26">
        <v>94394</v>
      </c>
      <c r="AJ26">
        <v>245</v>
      </c>
      <c r="AK26">
        <v>289</v>
      </c>
      <c r="AL26">
        <v>247</v>
      </c>
      <c r="AM26">
        <v>62</v>
      </c>
      <c r="AN26">
        <v>8174</v>
      </c>
      <c r="AO26">
        <v>7795</v>
      </c>
      <c r="AP26">
        <v>7818</v>
      </c>
      <c r="AQ26">
        <v>7688</v>
      </c>
      <c r="AR26">
        <v>8021</v>
      </c>
      <c r="AS26">
        <v>9392</v>
      </c>
      <c r="AU26">
        <v>3.4567901234567903E-3</v>
      </c>
      <c r="AV26">
        <v>3.3598009695757817E-3</v>
      </c>
      <c r="AW26">
        <v>2.9080377220763623E-3</v>
      </c>
      <c r="AX26">
        <v>6.9607391855935148E-4</v>
      </c>
      <c r="AY26">
        <v>9.759883464078041E-2</v>
      </c>
      <c r="AZ26">
        <v>9.0573184760001396E-2</v>
      </c>
      <c r="BA26">
        <v>8.8067317765536821E-2</v>
      </c>
      <c r="BB26">
        <v>8.5367207799418157E-2</v>
      </c>
      <c r="BC26">
        <v>8.8996638077379703E-2</v>
      </c>
      <c r="BD26">
        <v>9.9497849439583022E-2</v>
      </c>
      <c r="BE26" t="e">
        <v>#DIV/0!</v>
      </c>
      <c r="BF26">
        <v>173073.4</v>
      </c>
      <c r="BG26">
        <v>34879.4</v>
      </c>
      <c r="BH26">
        <v>86406.6</v>
      </c>
      <c r="BI26">
        <v>4973.1000000000004</v>
      </c>
      <c r="BJ26">
        <v>5.7554631243446681E-2</v>
      </c>
    </row>
    <row r="27" spans="1:62" x14ac:dyDescent="0.3">
      <c r="B27" t="s">
        <v>39</v>
      </c>
      <c r="C27">
        <v>26494</v>
      </c>
      <c r="D27">
        <v>29141</v>
      </c>
      <c r="E27">
        <v>30773</v>
      </c>
      <c r="F27">
        <v>34742</v>
      </c>
      <c r="G27">
        <v>36868</v>
      </c>
      <c r="H27">
        <v>37855</v>
      </c>
      <c r="I27">
        <v>44646</v>
      </c>
      <c r="J27">
        <v>53290</v>
      </c>
      <c r="K27">
        <v>51996</v>
      </c>
      <c r="L27">
        <v>52988</v>
      </c>
      <c r="N27">
        <v>3027</v>
      </c>
      <c r="O27">
        <v>2851</v>
      </c>
      <c r="P27">
        <v>3786</v>
      </c>
      <c r="Q27">
        <v>4289</v>
      </c>
      <c r="R27">
        <v>3897</v>
      </c>
      <c r="S27">
        <v>4353</v>
      </c>
      <c r="T27">
        <v>5630</v>
      </c>
      <c r="U27">
        <v>4857</v>
      </c>
      <c r="V27">
        <v>2397</v>
      </c>
      <c r="W27">
        <v>4253</v>
      </c>
      <c r="Y27">
        <v>14155</v>
      </c>
      <c r="Z27">
        <v>15998</v>
      </c>
      <c r="AA27">
        <v>18401</v>
      </c>
      <c r="AB27">
        <v>19841</v>
      </c>
      <c r="AC27">
        <v>21377</v>
      </c>
      <c r="AD27">
        <v>24428</v>
      </c>
      <c r="AE27">
        <v>26447</v>
      </c>
      <c r="AF27">
        <v>27844</v>
      </c>
      <c r="AG27">
        <v>26228</v>
      </c>
      <c r="AH27">
        <v>26919</v>
      </c>
      <c r="AJ27">
        <v>1091</v>
      </c>
      <c r="AK27">
        <v>1366</v>
      </c>
      <c r="AL27">
        <v>2397</v>
      </c>
      <c r="AM27">
        <v>1996</v>
      </c>
      <c r="AN27">
        <v>3670</v>
      </c>
      <c r="AO27">
        <v>2901</v>
      </c>
      <c r="AP27">
        <v>2618</v>
      </c>
      <c r="AQ27">
        <v>2740</v>
      </c>
      <c r="AR27">
        <v>2537</v>
      </c>
      <c r="AS27">
        <v>2025</v>
      </c>
      <c r="AU27">
        <v>7.7075238431649595E-2</v>
      </c>
      <c r="AV27">
        <v>8.538567320915115E-2</v>
      </c>
      <c r="AW27">
        <v>0.13026465952937341</v>
      </c>
      <c r="AX27">
        <v>0.10059976815684693</v>
      </c>
      <c r="AY27">
        <v>0.17167984282172427</v>
      </c>
      <c r="AZ27">
        <v>0.1187571639102669</v>
      </c>
      <c r="BA27">
        <v>9.8990433697583841E-2</v>
      </c>
      <c r="BB27">
        <v>9.840540152276972E-2</v>
      </c>
      <c r="BC27">
        <v>9.6728686899496721E-2</v>
      </c>
      <c r="BD27">
        <v>7.5225677031093285E-2</v>
      </c>
      <c r="BE27" t="e">
        <v>#DIV/0!</v>
      </c>
      <c r="BF27">
        <v>39879.300000000003</v>
      </c>
      <c r="BG27">
        <v>3934</v>
      </c>
      <c r="BH27">
        <v>22163.8</v>
      </c>
      <c r="BI27">
        <v>2334.1</v>
      </c>
      <c r="BJ27">
        <v>0.10531136357483825</v>
      </c>
    </row>
    <row r="28" spans="1:62" x14ac:dyDescent="0.3">
      <c r="B28" t="s">
        <v>40</v>
      </c>
      <c r="C28">
        <v>51244</v>
      </c>
      <c r="D28">
        <v>55448</v>
      </c>
      <c r="E28">
        <v>54487</v>
      </c>
      <c r="F28">
        <v>59019</v>
      </c>
      <c r="G28">
        <v>61138</v>
      </c>
      <c r="H28">
        <v>61935</v>
      </c>
      <c r="I28">
        <v>79312</v>
      </c>
      <c r="J28">
        <v>90488</v>
      </c>
      <c r="K28">
        <v>89760</v>
      </c>
      <c r="L28">
        <v>89088</v>
      </c>
      <c r="N28">
        <v>8957</v>
      </c>
      <c r="O28">
        <v>8518</v>
      </c>
      <c r="P28">
        <v>8003</v>
      </c>
      <c r="Q28">
        <v>9018</v>
      </c>
      <c r="R28">
        <v>9772</v>
      </c>
      <c r="S28">
        <v>10868</v>
      </c>
      <c r="T28">
        <v>12243</v>
      </c>
      <c r="U28">
        <v>11366</v>
      </c>
      <c r="V28">
        <v>11112</v>
      </c>
      <c r="W28">
        <v>13218</v>
      </c>
      <c r="Y28">
        <v>45651</v>
      </c>
      <c r="Z28">
        <v>51184</v>
      </c>
      <c r="AA28">
        <v>47022</v>
      </c>
      <c r="AB28">
        <v>55216</v>
      </c>
      <c r="AC28">
        <v>54179</v>
      </c>
      <c r="AD28">
        <v>53805</v>
      </c>
      <c r="AE28">
        <v>64307</v>
      </c>
      <c r="AF28">
        <v>76570</v>
      </c>
      <c r="AG28">
        <v>73943</v>
      </c>
      <c r="AH28">
        <v>80736</v>
      </c>
      <c r="AJ28">
        <v>558</v>
      </c>
      <c r="AK28">
        <v>594</v>
      </c>
      <c r="AL28">
        <v>583</v>
      </c>
      <c r="AM28">
        <v>738</v>
      </c>
      <c r="AN28">
        <v>733</v>
      </c>
      <c r="AO28">
        <v>509</v>
      </c>
      <c r="AP28">
        <v>532</v>
      </c>
      <c r="AQ28">
        <v>1008</v>
      </c>
      <c r="AR28">
        <v>1255</v>
      </c>
      <c r="AS28">
        <v>1477</v>
      </c>
      <c r="AU28">
        <v>1.2223171452980219E-2</v>
      </c>
      <c r="AV28">
        <v>1.1605189121600501E-2</v>
      </c>
      <c r="AW28">
        <v>1.2398451788524521E-2</v>
      </c>
      <c r="AX28">
        <v>1.3365691104027818E-2</v>
      </c>
      <c r="AY28">
        <v>1.3529227191347202E-2</v>
      </c>
      <c r="AZ28">
        <v>9.4600873524765348E-3</v>
      </c>
      <c r="BA28">
        <v>8.2728163341471376E-3</v>
      </c>
      <c r="BB28">
        <v>1.3164424709416221E-2</v>
      </c>
      <c r="BC28">
        <v>1.6972532896961174E-2</v>
      </c>
      <c r="BD28">
        <v>1.8294193420531114E-2</v>
      </c>
      <c r="BE28" t="e">
        <v>#DIV/0!</v>
      </c>
      <c r="BF28">
        <v>69191.899999999994</v>
      </c>
      <c r="BG28">
        <v>10307.5</v>
      </c>
      <c r="BH28">
        <v>60261.3</v>
      </c>
      <c r="BI28">
        <v>798.7</v>
      </c>
      <c r="BJ28">
        <v>1.3253945732999454E-2</v>
      </c>
    </row>
    <row r="29" spans="1:62" x14ac:dyDescent="0.3">
      <c r="A29" t="s">
        <v>41</v>
      </c>
      <c r="C29">
        <v>54167.8</v>
      </c>
      <c r="D29">
        <v>62512.800000000003</v>
      </c>
      <c r="E29">
        <v>65483.4</v>
      </c>
      <c r="F29">
        <v>74234.600000000006</v>
      </c>
      <c r="G29">
        <v>81661.2</v>
      </c>
      <c r="H29">
        <v>86027.4</v>
      </c>
      <c r="I29">
        <v>100367</v>
      </c>
      <c r="J29">
        <v>118466.6</v>
      </c>
      <c r="K29">
        <v>127865.8</v>
      </c>
      <c r="L29">
        <v>135489</v>
      </c>
      <c r="N29">
        <v>10859.2</v>
      </c>
      <c r="O29">
        <v>11964.2</v>
      </c>
      <c r="P29">
        <v>12148.8</v>
      </c>
      <c r="Q29">
        <v>14203.6</v>
      </c>
      <c r="R29">
        <v>14516.6</v>
      </c>
      <c r="S29">
        <v>15118.2</v>
      </c>
      <c r="T29">
        <v>17853.599999999999</v>
      </c>
      <c r="U29">
        <v>19103.400000000001</v>
      </c>
      <c r="V29">
        <v>19885.2</v>
      </c>
      <c r="W29">
        <v>22083.4</v>
      </c>
      <c r="Y29">
        <v>41590.800000000003</v>
      </c>
      <c r="Z29">
        <v>49292.6</v>
      </c>
      <c r="AA29">
        <v>50861.2</v>
      </c>
      <c r="AB29">
        <v>53811.6</v>
      </c>
      <c r="AC29">
        <v>54561.8</v>
      </c>
      <c r="AD29">
        <v>57398.8</v>
      </c>
      <c r="AE29">
        <v>63025</v>
      </c>
      <c r="AF29">
        <v>66517.2</v>
      </c>
      <c r="AG29">
        <v>66271.199999999997</v>
      </c>
      <c r="AH29">
        <v>72981.2</v>
      </c>
      <c r="AJ29">
        <v>596.79999999999995</v>
      </c>
      <c r="AK29">
        <v>566.20000000000005</v>
      </c>
      <c r="AL29">
        <v>756.8</v>
      </c>
      <c r="AM29">
        <v>1398.2</v>
      </c>
      <c r="AN29">
        <v>4112.6000000000004</v>
      </c>
      <c r="AO29">
        <v>4540.3999999999996</v>
      </c>
      <c r="AP29">
        <v>4527.2</v>
      </c>
      <c r="AQ29">
        <v>4340.8</v>
      </c>
      <c r="AR29">
        <v>5174</v>
      </c>
      <c r="AS29">
        <v>5479.4</v>
      </c>
      <c r="AU29">
        <v>1.4349327255066024E-2</v>
      </c>
      <c r="AV29">
        <v>1.1486511159890125E-2</v>
      </c>
      <c r="AW29">
        <v>1.4879711843212507E-2</v>
      </c>
      <c r="AX29">
        <v>2.598324524823644E-2</v>
      </c>
      <c r="AY29">
        <v>7.5375079267912717E-2</v>
      </c>
      <c r="AZ29">
        <v>7.9102699011129152E-2</v>
      </c>
      <c r="BA29">
        <v>7.1831812772709239E-2</v>
      </c>
      <c r="BB29">
        <v>6.5258309129067368E-2</v>
      </c>
      <c r="BC29">
        <v>7.807312980600925E-2</v>
      </c>
      <c r="BD29">
        <v>7.5079609543279635E-2</v>
      </c>
      <c r="BE29" t="e">
        <v>#DIV/0!</v>
      </c>
      <c r="BF29">
        <v>90627.56</v>
      </c>
      <c r="BG29">
        <v>15773.62</v>
      </c>
      <c r="BH29">
        <v>57631.14</v>
      </c>
      <c r="BI29">
        <v>3149.24</v>
      </c>
      <c r="BJ29">
        <v>5.4644763230434101E-2</v>
      </c>
    </row>
    <row r="30" spans="1:62" x14ac:dyDescent="0.3">
      <c r="A30" t="s">
        <v>13</v>
      </c>
      <c r="B30" t="s">
        <v>13</v>
      </c>
      <c r="AU30" t="e">
        <v>#DIV/0!</v>
      </c>
      <c r="AV30" t="e">
        <v>#DIV/0!</v>
      </c>
      <c r="AW30" t="e">
        <v>#DIV/0!</v>
      </c>
      <c r="AX30" t="e">
        <v>#DIV/0!</v>
      </c>
      <c r="AY30" t="e">
        <v>#DIV/0!</v>
      </c>
      <c r="AZ30" t="e">
        <v>#DIV/0!</v>
      </c>
      <c r="BA30" t="e">
        <v>#DIV/0!</v>
      </c>
      <c r="BB30" t="e">
        <v>#DIV/0!</v>
      </c>
      <c r="BC30" t="e">
        <v>#DIV/0!</v>
      </c>
      <c r="BD30" t="e">
        <v>#DIV/0!</v>
      </c>
      <c r="BE30" t="e">
        <v>#DIV/0!</v>
      </c>
      <c r="BJ30" t="e">
        <v>#DIV/0!</v>
      </c>
    </row>
    <row r="31" spans="1:62" x14ac:dyDescent="0.3">
      <c r="A31" t="s">
        <v>42</v>
      </c>
      <c r="AU31" t="e">
        <v>#DIV/0!</v>
      </c>
      <c r="AV31" t="e">
        <v>#DIV/0!</v>
      </c>
      <c r="AW31" t="e">
        <v>#DIV/0!</v>
      </c>
      <c r="AX31" t="e">
        <v>#DIV/0!</v>
      </c>
      <c r="AY31" t="e">
        <v>#DIV/0!</v>
      </c>
      <c r="AZ31" t="e">
        <v>#DIV/0!</v>
      </c>
      <c r="BA31" t="e">
        <v>#DIV/0!</v>
      </c>
      <c r="BB31" t="e">
        <v>#DIV/0!</v>
      </c>
      <c r="BC31" t="e">
        <v>#DIV/0!</v>
      </c>
      <c r="BD31" t="e">
        <v>#DIV/0!</v>
      </c>
      <c r="BE31" t="e">
        <v>#DIV/0!</v>
      </c>
      <c r="BJ31" t="e">
        <v>#DIV/0!</v>
      </c>
    </row>
    <row r="32" spans="1:62" x14ac:dyDescent="0.3">
      <c r="A32" t="s">
        <v>43</v>
      </c>
      <c r="C32">
        <v>47055.526315789473</v>
      </c>
      <c r="D32">
        <v>49068.55</v>
      </c>
      <c r="E32">
        <v>51487.9</v>
      </c>
      <c r="F32">
        <v>58422.25</v>
      </c>
      <c r="G32">
        <v>63944.7</v>
      </c>
      <c r="H32">
        <v>65795.3</v>
      </c>
      <c r="I32">
        <v>73353.45</v>
      </c>
      <c r="J32">
        <v>88175.9</v>
      </c>
      <c r="K32">
        <v>107091.25</v>
      </c>
      <c r="L32">
        <v>119099.4</v>
      </c>
      <c r="N32">
        <v>6579.7894736842109</v>
      </c>
      <c r="O32">
        <v>6239.5</v>
      </c>
      <c r="P32">
        <v>6192.35</v>
      </c>
      <c r="Q32">
        <v>7512.4</v>
      </c>
      <c r="R32">
        <v>9169.2000000000007</v>
      </c>
      <c r="S32">
        <v>10546.6</v>
      </c>
      <c r="T32">
        <v>13120.6</v>
      </c>
      <c r="U32">
        <v>15795.45</v>
      </c>
      <c r="V32">
        <v>19435.099999999999</v>
      </c>
      <c r="W32">
        <v>22907</v>
      </c>
      <c r="Y32">
        <v>40385.368421052633</v>
      </c>
      <c r="Z32">
        <v>44797.25</v>
      </c>
      <c r="AA32">
        <v>48812.15</v>
      </c>
      <c r="AB32">
        <v>53396</v>
      </c>
      <c r="AC32">
        <v>57910.1</v>
      </c>
      <c r="AD32">
        <v>67499.100000000006</v>
      </c>
      <c r="AE32">
        <v>76272.45</v>
      </c>
      <c r="AF32">
        <v>85935.7</v>
      </c>
      <c r="AG32">
        <v>102167.05</v>
      </c>
      <c r="AH32">
        <v>117672.35</v>
      </c>
      <c r="AJ32">
        <v>51658.210526315786</v>
      </c>
      <c r="AK32">
        <v>46255</v>
      </c>
      <c r="AL32">
        <v>57157.85</v>
      </c>
      <c r="AM32">
        <v>60881.9</v>
      </c>
      <c r="AN32">
        <v>59902.85</v>
      </c>
      <c r="AO32">
        <v>60613.2</v>
      </c>
      <c r="AP32">
        <v>67119.5</v>
      </c>
      <c r="AQ32">
        <v>74286.95</v>
      </c>
      <c r="AR32">
        <v>106874.95</v>
      </c>
      <c r="AS32">
        <v>103161.9</v>
      </c>
      <c r="AU32">
        <v>1.2791318377421734</v>
      </c>
      <c r="AV32">
        <v>1.0325410599981026</v>
      </c>
      <c r="AW32">
        <v>1.1709758738346907</v>
      </c>
      <c r="AX32">
        <v>1.1401958948235822</v>
      </c>
      <c r="AY32">
        <v>1.0344110958192094</v>
      </c>
      <c r="AZ32">
        <v>0.89798530647075292</v>
      </c>
      <c r="BA32">
        <v>0.8799966436111597</v>
      </c>
      <c r="BB32">
        <v>0.86444806989411849</v>
      </c>
      <c r="BC32">
        <v>1.0460804143801745</v>
      </c>
      <c r="BD32">
        <v>0.8766876840651181</v>
      </c>
      <c r="BE32" t="e">
        <v>#DIV/0!</v>
      </c>
      <c r="BF32">
        <v>72476.52763819095</v>
      </c>
      <c r="BG32">
        <v>11775.778894472362</v>
      </c>
      <c r="BH32">
        <v>69630.979899497484</v>
      </c>
      <c r="BI32">
        <v>68877.326633165823</v>
      </c>
      <c r="BJ32" t="e">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
  <sheetViews>
    <sheetView workbookViewId="0">
      <selection activeCell="E23" sqref="E23"/>
    </sheetView>
  </sheetViews>
  <sheetFormatPr defaultRowHeight="14.4" x14ac:dyDescent="0.3"/>
  <cols>
    <col min="1" max="1" width="36.5546875" bestFit="1" customWidth="1"/>
    <col min="2" max="2" width="9.33203125" bestFit="1" customWidth="1"/>
    <col min="4" max="4" width="10.88671875" bestFit="1" customWidth="1"/>
    <col min="5" max="5" width="11" bestFit="1" customWidth="1"/>
    <col min="6" max="6" width="12.44140625" bestFit="1" customWidth="1"/>
    <col min="9" max="9" width="14.44140625" bestFit="1" customWidth="1"/>
    <col min="10" max="10" width="17.109375" bestFit="1" customWidth="1"/>
    <col min="13" max="13" width="11.109375" bestFit="1" customWidth="1"/>
  </cols>
  <sheetData>
    <row r="1" spans="1:10" x14ac:dyDescent="0.3">
      <c r="A1" s="2" t="s">
        <v>12</v>
      </c>
      <c r="B1" t="s">
        <v>11</v>
      </c>
      <c r="C1" t="s">
        <v>2</v>
      </c>
      <c r="D1" t="s">
        <v>44</v>
      </c>
      <c r="E1" t="s">
        <v>0</v>
      </c>
      <c r="F1" t="s">
        <v>45</v>
      </c>
      <c r="G1" t="s">
        <v>46</v>
      </c>
      <c r="H1" t="s">
        <v>47</v>
      </c>
      <c r="I1" t="s">
        <v>48</v>
      </c>
      <c r="J1" t="s">
        <v>49</v>
      </c>
    </row>
    <row r="2" spans="1:10" x14ac:dyDescent="0.3">
      <c r="A2" s="2" t="s">
        <v>16</v>
      </c>
      <c r="B2" t="s">
        <v>14</v>
      </c>
      <c r="C2">
        <v>2016</v>
      </c>
      <c r="D2">
        <v>63162</v>
      </c>
      <c r="F2">
        <v>12821</v>
      </c>
      <c r="G2">
        <v>103714</v>
      </c>
      <c r="H2">
        <v>74304</v>
      </c>
      <c r="I2">
        <v>762212</v>
      </c>
      <c r="J2">
        <v>762212</v>
      </c>
    </row>
    <row r="3" spans="1:10" x14ac:dyDescent="0.3">
      <c r="A3" s="2" t="s">
        <v>16</v>
      </c>
      <c r="B3" t="s">
        <v>14</v>
      </c>
      <c r="C3">
        <v>2017</v>
      </c>
      <c r="D3">
        <v>73271</v>
      </c>
      <c r="F3">
        <v>15317</v>
      </c>
      <c r="G3">
        <v>98416</v>
      </c>
      <c r="H3">
        <v>91794</v>
      </c>
      <c r="I3">
        <v>892344</v>
      </c>
      <c r="J3">
        <v>892344</v>
      </c>
    </row>
    <row r="4" spans="1:10" x14ac:dyDescent="0.3">
      <c r="A4" s="2" t="s">
        <v>16</v>
      </c>
      <c r="B4" t="s">
        <v>14</v>
      </c>
      <c r="C4">
        <v>2018</v>
      </c>
      <c r="D4">
        <v>85288</v>
      </c>
      <c r="F4">
        <v>18561</v>
      </c>
      <c r="G4">
        <v>156442</v>
      </c>
      <c r="H4">
        <v>109599</v>
      </c>
      <c r="I4">
        <v>1103186</v>
      </c>
      <c r="J4">
        <v>1103186</v>
      </c>
    </row>
    <row r="5" spans="1:10" x14ac:dyDescent="0.3">
      <c r="A5" s="2" t="s">
        <v>16</v>
      </c>
      <c r="B5" t="s">
        <v>14</v>
      </c>
      <c r="C5">
        <v>2019</v>
      </c>
      <c r="D5">
        <v>105161</v>
      </c>
      <c r="F5">
        <v>22446</v>
      </c>
      <c r="G5">
        <v>157733</v>
      </c>
      <c r="H5">
        <v>153673</v>
      </c>
      <c r="I5">
        <v>1292806</v>
      </c>
      <c r="J5">
        <v>1292806</v>
      </c>
    </row>
    <row r="6" spans="1:10" x14ac:dyDescent="0.3">
      <c r="A6" s="2" t="s">
        <v>16</v>
      </c>
      <c r="B6" t="s">
        <v>14</v>
      </c>
      <c r="C6">
        <v>2020</v>
      </c>
      <c r="D6">
        <v>122189</v>
      </c>
      <c r="F6">
        <v>27296</v>
      </c>
      <c r="G6">
        <v>186834</v>
      </c>
      <c r="H6">
        <v>176358</v>
      </c>
      <c r="I6">
        <v>1580830</v>
      </c>
      <c r="J6">
        <v>1580830</v>
      </c>
    </row>
    <row r="7" spans="1:10" x14ac:dyDescent="0.3">
      <c r="A7" s="2" t="s">
        <v>16</v>
      </c>
      <c r="B7" t="s">
        <v>14</v>
      </c>
      <c r="C7">
        <v>2021</v>
      </c>
      <c r="D7">
        <v>128552</v>
      </c>
      <c r="F7">
        <v>31857</v>
      </c>
      <c r="G7">
        <v>177697</v>
      </c>
      <c r="H7">
        <v>209810</v>
      </c>
      <c r="I7">
        <v>1799507</v>
      </c>
      <c r="J7">
        <v>1799507</v>
      </c>
    </row>
    <row r="8" spans="1:10" x14ac:dyDescent="0.3">
      <c r="A8" s="2" t="s">
        <v>16</v>
      </c>
      <c r="B8" t="s">
        <v>14</v>
      </c>
      <c r="C8">
        <v>2022</v>
      </c>
      <c r="D8">
        <v>135936</v>
      </c>
      <c r="F8">
        <v>38151</v>
      </c>
      <c r="G8">
        <v>226966</v>
      </c>
      <c r="H8">
        <v>247327</v>
      </c>
      <c r="I8">
        <v>2122934</v>
      </c>
      <c r="J8">
        <v>2122934</v>
      </c>
    </row>
    <row r="9" spans="1:10" x14ac:dyDescent="0.3">
      <c r="A9" s="2" t="s">
        <v>16</v>
      </c>
      <c r="B9" t="s">
        <v>14</v>
      </c>
      <c r="C9">
        <v>2023</v>
      </c>
      <c r="D9">
        <v>170754</v>
      </c>
      <c r="F9">
        <v>46149</v>
      </c>
      <c r="G9">
        <v>256549</v>
      </c>
      <c r="H9">
        <v>289438</v>
      </c>
      <c r="I9">
        <v>2530432</v>
      </c>
      <c r="J9">
        <v>2530432</v>
      </c>
    </row>
    <row r="10" spans="1:10" x14ac:dyDescent="0.3">
      <c r="A10" s="2" t="s">
        <v>16</v>
      </c>
      <c r="B10" t="s">
        <v>14</v>
      </c>
      <c r="C10">
        <v>2024</v>
      </c>
      <c r="D10">
        <v>283649</v>
      </c>
      <c r="F10">
        <v>65446</v>
      </c>
      <c r="G10">
        <v>730615</v>
      </c>
      <c r="H10">
        <v>456396</v>
      </c>
      <c r="I10">
        <v>4030194</v>
      </c>
      <c r="J10">
        <v>4030194</v>
      </c>
    </row>
    <row r="11" spans="1:10" x14ac:dyDescent="0.3">
      <c r="A11" s="2" t="s">
        <v>16</v>
      </c>
      <c r="B11" t="s">
        <v>14</v>
      </c>
      <c r="C11">
        <v>2025</v>
      </c>
      <c r="D11">
        <v>336367</v>
      </c>
      <c r="F11">
        <v>73440</v>
      </c>
      <c r="G11">
        <v>634606</v>
      </c>
      <c r="H11">
        <v>521789</v>
      </c>
      <c r="I11">
        <v>4392110</v>
      </c>
      <c r="J11">
        <v>4392110</v>
      </c>
    </row>
    <row r="12" spans="1:10" x14ac:dyDescent="0.3">
      <c r="A12" s="2" t="s">
        <v>17</v>
      </c>
      <c r="B12" t="s">
        <v>14</v>
      </c>
      <c r="C12">
        <v>2016</v>
      </c>
      <c r="D12">
        <v>59294</v>
      </c>
      <c r="F12">
        <v>10927</v>
      </c>
      <c r="G12">
        <v>189054</v>
      </c>
      <c r="H12">
        <v>94111</v>
      </c>
      <c r="I12">
        <v>918756</v>
      </c>
      <c r="J12">
        <v>918756</v>
      </c>
    </row>
    <row r="13" spans="1:10" x14ac:dyDescent="0.3">
      <c r="A13" s="2" t="s">
        <v>17</v>
      </c>
      <c r="B13" t="s">
        <v>14</v>
      </c>
      <c r="C13">
        <v>2017</v>
      </c>
      <c r="D13">
        <v>60940</v>
      </c>
      <c r="F13">
        <v>11340</v>
      </c>
      <c r="G13">
        <v>170670</v>
      </c>
      <c r="H13">
        <v>104632</v>
      </c>
      <c r="I13">
        <v>985725</v>
      </c>
      <c r="J13">
        <v>985725</v>
      </c>
    </row>
    <row r="14" spans="1:10" x14ac:dyDescent="0.3">
      <c r="A14" s="2" t="s">
        <v>17</v>
      </c>
      <c r="B14" t="s">
        <v>14</v>
      </c>
      <c r="C14">
        <v>2018</v>
      </c>
      <c r="D14">
        <v>62162</v>
      </c>
      <c r="F14">
        <v>9100</v>
      </c>
      <c r="G14">
        <v>229402</v>
      </c>
      <c r="H14">
        <v>110630</v>
      </c>
      <c r="I14">
        <v>1124281</v>
      </c>
      <c r="J14">
        <v>1124281</v>
      </c>
    </row>
    <row r="15" spans="1:10" x14ac:dyDescent="0.3">
      <c r="A15" s="2" t="s">
        <v>17</v>
      </c>
      <c r="B15" t="s">
        <v>14</v>
      </c>
      <c r="C15">
        <v>2019</v>
      </c>
      <c r="D15">
        <v>71982</v>
      </c>
      <c r="F15">
        <v>5689</v>
      </c>
      <c r="G15">
        <v>210324</v>
      </c>
      <c r="H15">
        <v>114253</v>
      </c>
      <c r="I15">
        <v>1238794</v>
      </c>
      <c r="J15">
        <v>1238794</v>
      </c>
    </row>
    <row r="16" spans="1:10" x14ac:dyDescent="0.3">
      <c r="A16" s="2" t="s">
        <v>17</v>
      </c>
      <c r="B16" t="s">
        <v>14</v>
      </c>
      <c r="C16">
        <v>2020</v>
      </c>
      <c r="D16">
        <v>84836</v>
      </c>
      <c r="F16">
        <v>11225</v>
      </c>
      <c r="G16">
        <v>213852</v>
      </c>
      <c r="H16">
        <v>122960</v>
      </c>
      <c r="I16">
        <v>1377292</v>
      </c>
      <c r="J16">
        <v>1377292</v>
      </c>
    </row>
    <row r="17" spans="1:17" x14ac:dyDescent="0.3">
      <c r="A17" s="2" t="s">
        <v>17</v>
      </c>
      <c r="B17" t="s">
        <v>14</v>
      </c>
      <c r="C17">
        <v>2021</v>
      </c>
      <c r="D17">
        <v>89163</v>
      </c>
      <c r="F17">
        <v>20364</v>
      </c>
      <c r="G17">
        <v>143900</v>
      </c>
      <c r="H17">
        <v>157587</v>
      </c>
      <c r="I17">
        <v>1573812</v>
      </c>
      <c r="J17">
        <v>1573812</v>
      </c>
    </row>
    <row r="18" spans="1:17" x14ac:dyDescent="0.3">
      <c r="A18" s="2" t="s">
        <v>17</v>
      </c>
      <c r="B18" t="s">
        <v>14</v>
      </c>
      <c r="C18">
        <v>2022</v>
      </c>
      <c r="D18">
        <v>95407</v>
      </c>
      <c r="F18">
        <v>26538</v>
      </c>
      <c r="G18">
        <v>161603</v>
      </c>
      <c r="H18">
        <v>182053</v>
      </c>
      <c r="I18" s="1">
        <v>1752637</v>
      </c>
      <c r="J18" s="1">
        <v>1752637</v>
      </c>
      <c r="K18" s="1"/>
      <c r="L18" s="1"/>
      <c r="M18" s="1"/>
      <c r="N18" s="1"/>
      <c r="O18" s="1"/>
      <c r="P18" s="1"/>
      <c r="Q18" s="1"/>
    </row>
    <row r="19" spans="1:17" x14ac:dyDescent="0.3">
      <c r="A19" s="2" t="s">
        <v>17</v>
      </c>
      <c r="B19" t="s">
        <v>14</v>
      </c>
      <c r="C19">
        <v>2023</v>
      </c>
      <c r="D19">
        <v>121067</v>
      </c>
      <c r="F19">
        <v>35461</v>
      </c>
      <c r="G19">
        <v>189062</v>
      </c>
      <c r="H19">
        <v>214498</v>
      </c>
      <c r="I19">
        <v>1958490</v>
      </c>
      <c r="J19">
        <v>1958490</v>
      </c>
    </row>
    <row r="20" spans="1:17" x14ac:dyDescent="0.3">
      <c r="A20" s="2" t="s">
        <v>17</v>
      </c>
      <c r="B20" t="s">
        <v>14</v>
      </c>
      <c r="C20">
        <v>2024</v>
      </c>
      <c r="D20">
        <v>159516</v>
      </c>
      <c r="F20">
        <v>46081</v>
      </c>
      <c r="G20">
        <v>207428</v>
      </c>
      <c r="H20">
        <v>256144</v>
      </c>
      <c r="I20">
        <v>2364063</v>
      </c>
      <c r="J20">
        <v>2364063</v>
      </c>
    </row>
    <row r="21" spans="1:17" x14ac:dyDescent="0.3">
      <c r="A21" s="2" t="s">
        <v>17</v>
      </c>
      <c r="B21" t="s">
        <v>14</v>
      </c>
      <c r="C21">
        <v>2025</v>
      </c>
      <c r="D21">
        <v>186331</v>
      </c>
      <c r="F21">
        <v>54569</v>
      </c>
      <c r="G21">
        <v>218883</v>
      </c>
      <c r="H21">
        <v>313906</v>
      </c>
      <c r="I21">
        <v>2642241</v>
      </c>
      <c r="J21">
        <v>2642241</v>
      </c>
    </row>
    <row r="22" spans="1:17" x14ac:dyDescent="0.3">
      <c r="A22" s="2" t="s">
        <v>19</v>
      </c>
      <c r="B22" t="s">
        <v>14</v>
      </c>
      <c r="C22">
        <v>2016</v>
      </c>
      <c r="D22">
        <v>220633</v>
      </c>
      <c r="F22">
        <v>13019</v>
      </c>
      <c r="G22">
        <v>361399</v>
      </c>
      <c r="H22">
        <v>180592</v>
      </c>
      <c r="I22">
        <v>3072321</v>
      </c>
      <c r="J22">
        <v>3072321</v>
      </c>
    </row>
    <row r="23" spans="1:17" x14ac:dyDescent="0.3">
      <c r="A23" s="2" t="s">
        <v>19</v>
      </c>
      <c r="B23" t="s">
        <v>14</v>
      </c>
      <c r="C23">
        <v>2017</v>
      </c>
      <c r="D23">
        <v>230447</v>
      </c>
      <c r="F23">
        <v>-97</v>
      </c>
      <c r="G23">
        <v>336366</v>
      </c>
      <c r="H23">
        <v>217192</v>
      </c>
      <c r="I23">
        <v>3441760</v>
      </c>
      <c r="J23">
        <v>3441760</v>
      </c>
    </row>
    <row r="24" spans="1:17" x14ac:dyDescent="0.3">
      <c r="A24" s="2" t="s">
        <v>19</v>
      </c>
      <c r="B24" t="s">
        <v>14</v>
      </c>
      <c r="C24">
        <v>2018</v>
      </c>
      <c r="D24">
        <v>228970</v>
      </c>
      <c r="F24">
        <v>-3749</v>
      </c>
      <c r="G24">
        <v>369079</v>
      </c>
      <c r="H24">
        <v>230321</v>
      </c>
      <c r="I24">
        <v>3616439</v>
      </c>
      <c r="J24">
        <v>3616439</v>
      </c>
    </row>
    <row r="25" spans="1:17" x14ac:dyDescent="0.3">
      <c r="A25" s="2" t="s">
        <v>19</v>
      </c>
      <c r="B25" t="s">
        <v>14</v>
      </c>
      <c r="C25">
        <v>2019</v>
      </c>
      <c r="D25">
        <v>253322</v>
      </c>
      <c r="F25">
        <v>3351</v>
      </c>
      <c r="G25">
        <v>413748</v>
      </c>
      <c r="H25">
        <v>234495</v>
      </c>
      <c r="I25">
        <v>3888460</v>
      </c>
      <c r="J25">
        <v>3888460</v>
      </c>
    </row>
    <row r="26" spans="1:17" x14ac:dyDescent="0.3">
      <c r="A26" s="2" t="s">
        <v>19</v>
      </c>
      <c r="B26" t="s">
        <v>14</v>
      </c>
      <c r="C26">
        <v>2020</v>
      </c>
      <c r="D26">
        <v>269852</v>
      </c>
      <c r="F26">
        <v>21140</v>
      </c>
      <c r="G26">
        <v>332901</v>
      </c>
      <c r="H26">
        <v>251060</v>
      </c>
      <c r="I26">
        <v>4197486</v>
      </c>
      <c r="J26">
        <v>4197486</v>
      </c>
    </row>
    <row r="27" spans="1:17" x14ac:dyDescent="0.3">
      <c r="A27" s="2" t="s">
        <v>19</v>
      </c>
      <c r="B27" t="s">
        <v>14</v>
      </c>
      <c r="C27">
        <v>2021</v>
      </c>
      <c r="D27">
        <v>278115</v>
      </c>
      <c r="F27">
        <v>23888</v>
      </c>
      <c r="G27">
        <v>433796</v>
      </c>
      <c r="H27">
        <v>275561</v>
      </c>
      <c r="I27">
        <v>4845615</v>
      </c>
      <c r="J27">
        <v>4845615</v>
      </c>
    </row>
    <row r="28" spans="1:17" x14ac:dyDescent="0.3">
      <c r="A28" s="2" t="s">
        <v>19</v>
      </c>
      <c r="B28" t="s">
        <v>14</v>
      </c>
      <c r="C28">
        <v>2022</v>
      </c>
      <c r="D28">
        <v>289973</v>
      </c>
      <c r="F28">
        <v>37183</v>
      </c>
      <c r="G28">
        <v>449160</v>
      </c>
      <c r="H28">
        <v>305588</v>
      </c>
      <c r="I28">
        <v>5360878</v>
      </c>
      <c r="J28">
        <v>5360878</v>
      </c>
    </row>
    <row r="29" spans="1:17" x14ac:dyDescent="0.3">
      <c r="A29" s="2" t="s">
        <v>19</v>
      </c>
      <c r="B29" t="s">
        <v>14</v>
      </c>
      <c r="C29">
        <v>2023</v>
      </c>
      <c r="D29">
        <v>350845</v>
      </c>
      <c r="F29">
        <v>57750</v>
      </c>
      <c r="G29">
        <v>521152</v>
      </c>
      <c r="H29">
        <v>358931</v>
      </c>
      <c r="I29">
        <v>5954415</v>
      </c>
      <c r="J29">
        <v>5954415</v>
      </c>
    </row>
    <row r="30" spans="1:17" x14ac:dyDescent="0.3">
      <c r="A30" s="2" t="s">
        <v>19</v>
      </c>
      <c r="B30" t="s">
        <v>14</v>
      </c>
      <c r="C30">
        <v>2024</v>
      </c>
      <c r="D30">
        <v>439189</v>
      </c>
      <c r="F30">
        <v>69543</v>
      </c>
      <c r="G30">
        <v>639610</v>
      </c>
      <c r="H30">
        <v>414939</v>
      </c>
      <c r="I30">
        <v>6733756</v>
      </c>
      <c r="J30">
        <v>6733756</v>
      </c>
    </row>
    <row r="31" spans="1:17" x14ac:dyDescent="0.3">
      <c r="A31" s="2" t="s">
        <v>19</v>
      </c>
      <c r="B31" t="s">
        <v>14</v>
      </c>
      <c r="C31">
        <v>2025</v>
      </c>
      <c r="D31">
        <v>490938</v>
      </c>
      <c r="F31">
        <v>80523</v>
      </c>
      <c r="G31">
        <v>610857</v>
      </c>
      <c r="H31">
        <v>487036</v>
      </c>
      <c r="I31">
        <v>7313730</v>
      </c>
      <c r="J31">
        <v>7313730</v>
      </c>
    </row>
    <row r="32" spans="1:17" x14ac:dyDescent="0.3">
      <c r="A32" s="2" t="s">
        <v>15</v>
      </c>
      <c r="B32" t="s">
        <v>14</v>
      </c>
      <c r="C32">
        <v>2016</v>
      </c>
      <c r="D32">
        <v>41409</v>
      </c>
      <c r="F32">
        <v>8358</v>
      </c>
      <c r="G32">
        <v>113848</v>
      </c>
      <c r="H32">
        <v>53559</v>
      </c>
      <c r="I32">
        <v>546387</v>
      </c>
      <c r="J32">
        <v>546387</v>
      </c>
    </row>
    <row r="33" spans="1:10" x14ac:dyDescent="0.3">
      <c r="A33" s="2" t="s">
        <v>15</v>
      </c>
      <c r="B33" t="s">
        <v>14</v>
      </c>
      <c r="C33">
        <v>2017</v>
      </c>
      <c r="D33">
        <v>45175</v>
      </c>
      <c r="F33">
        <v>3967</v>
      </c>
      <c r="G33">
        <v>112455</v>
      </c>
      <c r="H33">
        <v>56380</v>
      </c>
      <c r="I33">
        <v>611462</v>
      </c>
      <c r="J33">
        <v>611462</v>
      </c>
    </row>
    <row r="34" spans="1:10" x14ac:dyDescent="0.3">
      <c r="A34" s="2" t="s">
        <v>15</v>
      </c>
      <c r="B34" t="s">
        <v>14</v>
      </c>
      <c r="C34">
        <v>2018</v>
      </c>
      <c r="D34">
        <v>46614</v>
      </c>
      <c r="F34">
        <v>464</v>
      </c>
      <c r="G34">
        <v>155767</v>
      </c>
      <c r="H34">
        <v>64207</v>
      </c>
      <c r="I34">
        <v>703703</v>
      </c>
      <c r="J34">
        <v>703703</v>
      </c>
    </row>
    <row r="35" spans="1:10" x14ac:dyDescent="0.3">
      <c r="A35" s="2" t="s">
        <v>15</v>
      </c>
      <c r="B35" t="s">
        <v>14</v>
      </c>
      <c r="C35">
        <v>2019</v>
      </c>
      <c r="D35">
        <v>56044</v>
      </c>
      <c r="F35">
        <v>5047</v>
      </c>
      <c r="G35">
        <v>161250</v>
      </c>
      <c r="H35">
        <v>67802</v>
      </c>
      <c r="I35">
        <v>814046</v>
      </c>
      <c r="J35">
        <v>814046</v>
      </c>
    </row>
    <row r="36" spans="1:10" x14ac:dyDescent="0.3">
      <c r="A36" s="2" t="s">
        <v>15</v>
      </c>
      <c r="B36" t="s">
        <v>14</v>
      </c>
      <c r="C36">
        <v>2020</v>
      </c>
      <c r="D36">
        <v>63716</v>
      </c>
      <c r="F36">
        <v>1879</v>
      </c>
      <c r="G36">
        <v>155180</v>
      </c>
      <c r="H36">
        <v>86340</v>
      </c>
      <c r="I36">
        <v>927872</v>
      </c>
      <c r="J36">
        <v>927872</v>
      </c>
    </row>
    <row r="37" spans="1:10" x14ac:dyDescent="0.3">
      <c r="A37" s="2" t="s">
        <v>15</v>
      </c>
      <c r="B37" t="s">
        <v>14</v>
      </c>
      <c r="C37">
        <v>2021</v>
      </c>
      <c r="D37">
        <v>64397</v>
      </c>
      <c r="F37">
        <v>7252</v>
      </c>
      <c r="G37">
        <v>152249</v>
      </c>
      <c r="H37">
        <v>103594</v>
      </c>
      <c r="I37">
        <v>1001005</v>
      </c>
      <c r="J37">
        <v>1001005</v>
      </c>
    </row>
    <row r="38" spans="1:10" x14ac:dyDescent="0.3">
      <c r="A38" s="2" t="s">
        <v>15</v>
      </c>
      <c r="B38" t="s">
        <v>14</v>
      </c>
      <c r="C38">
        <v>2022</v>
      </c>
      <c r="D38">
        <v>68846</v>
      </c>
      <c r="F38">
        <v>14207</v>
      </c>
      <c r="G38">
        <v>199778</v>
      </c>
      <c r="H38">
        <v>118261</v>
      </c>
      <c r="I38">
        <v>1195779</v>
      </c>
      <c r="J38">
        <v>1195779</v>
      </c>
    </row>
    <row r="39" spans="1:10" x14ac:dyDescent="0.3">
      <c r="A39" s="2" t="s">
        <v>15</v>
      </c>
      <c r="B39" t="s">
        <v>14</v>
      </c>
      <c r="C39">
        <v>2023</v>
      </c>
      <c r="D39">
        <v>87448</v>
      </c>
      <c r="F39">
        <v>10919</v>
      </c>
      <c r="G39">
        <v>206214</v>
      </c>
      <c r="H39">
        <v>129781</v>
      </c>
      <c r="I39">
        <v>1344418</v>
      </c>
      <c r="J39">
        <v>1344418</v>
      </c>
    </row>
    <row r="40" spans="1:10" x14ac:dyDescent="0.3">
      <c r="A40" s="2" t="s">
        <v>15</v>
      </c>
      <c r="B40" t="s">
        <v>14</v>
      </c>
      <c r="C40">
        <v>2024</v>
      </c>
      <c r="D40">
        <v>112759</v>
      </c>
      <c r="F40">
        <v>26492</v>
      </c>
      <c r="G40">
        <v>228200</v>
      </c>
      <c r="H40">
        <v>157023</v>
      </c>
      <c r="I40">
        <v>1518239</v>
      </c>
      <c r="J40">
        <v>1518239</v>
      </c>
    </row>
    <row r="41" spans="1:10" x14ac:dyDescent="0.3">
      <c r="A41" s="2" t="s">
        <v>15</v>
      </c>
      <c r="B41" t="s">
        <v>14</v>
      </c>
      <c r="C41">
        <v>2025</v>
      </c>
      <c r="D41">
        <v>127374</v>
      </c>
      <c r="F41">
        <v>28191</v>
      </c>
      <c r="G41">
        <v>220687</v>
      </c>
      <c r="H41">
        <v>187235</v>
      </c>
      <c r="I41">
        <v>1656963</v>
      </c>
      <c r="J41">
        <v>1656963</v>
      </c>
    </row>
    <row r="42" spans="1:10" x14ac:dyDescent="0.3">
      <c r="A42" s="2" t="s">
        <v>18</v>
      </c>
      <c r="B42" t="s">
        <v>14</v>
      </c>
      <c r="C42">
        <v>2016</v>
      </c>
      <c r="D42">
        <v>20402</v>
      </c>
      <c r="F42">
        <v>3524</v>
      </c>
      <c r="G42">
        <v>43730</v>
      </c>
      <c r="H42">
        <v>33364</v>
      </c>
      <c r="I42">
        <v>240804</v>
      </c>
      <c r="J42">
        <v>240804</v>
      </c>
    </row>
    <row r="43" spans="1:10" x14ac:dyDescent="0.3">
      <c r="A43" s="2" t="s">
        <v>18</v>
      </c>
      <c r="B43" t="s">
        <v>14</v>
      </c>
      <c r="C43">
        <v>2017</v>
      </c>
      <c r="D43">
        <v>22324</v>
      </c>
      <c r="F43">
        <v>5019</v>
      </c>
      <c r="G43">
        <v>49690</v>
      </c>
      <c r="H43">
        <v>38492</v>
      </c>
      <c r="I43">
        <v>276188</v>
      </c>
      <c r="J43">
        <v>276188</v>
      </c>
    </row>
    <row r="44" spans="1:10" x14ac:dyDescent="0.3">
      <c r="A44" s="2" t="s">
        <v>18</v>
      </c>
      <c r="B44" t="s">
        <v>14</v>
      </c>
      <c r="C44">
        <v>2018</v>
      </c>
      <c r="D44">
        <v>25131</v>
      </c>
      <c r="F44">
        <v>6258</v>
      </c>
      <c r="G44">
        <v>58604</v>
      </c>
      <c r="H44">
        <v>50488</v>
      </c>
      <c r="I44">
        <v>337720</v>
      </c>
      <c r="J44">
        <v>337720</v>
      </c>
    </row>
    <row r="45" spans="1:10" x14ac:dyDescent="0.3">
      <c r="A45" s="2" t="s">
        <v>18</v>
      </c>
      <c r="B45" t="s">
        <v>14</v>
      </c>
      <c r="C45">
        <v>2019</v>
      </c>
      <c r="D45">
        <v>29831</v>
      </c>
      <c r="F45">
        <v>7204</v>
      </c>
      <c r="G45">
        <v>66939</v>
      </c>
      <c r="H45">
        <v>57781</v>
      </c>
      <c r="I45">
        <v>395171</v>
      </c>
      <c r="J45">
        <v>395171</v>
      </c>
    </row>
    <row r="46" spans="1:10" x14ac:dyDescent="0.3">
      <c r="A46" s="2" t="s">
        <v>18</v>
      </c>
      <c r="B46" t="s">
        <v>14</v>
      </c>
      <c r="C46">
        <v>2020</v>
      </c>
      <c r="D46">
        <v>33474</v>
      </c>
      <c r="F46">
        <v>8593</v>
      </c>
      <c r="G46">
        <v>66077</v>
      </c>
      <c r="H46">
        <v>66637</v>
      </c>
      <c r="I46">
        <v>443173</v>
      </c>
      <c r="J46">
        <v>443173</v>
      </c>
    </row>
    <row r="47" spans="1:10" x14ac:dyDescent="0.3">
      <c r="A47" s="2" t="s">
        <v>18</v>
      </c>
      <c r="B47" t="s">
        <v>14</v>
      </c>
      <c r="C47">
        <v>2021</v>
      </c>
      <c r="D47">
        <v>32820</v>
      </c>
      <c r="F47">
        <v>9990</v>
      </c>
      <c r="G47">
        <v>48239</v>
      </c>
      <c r="H47">
        <v>84339</v>
      </c>
      <c r="I47">
        <v>478854</v>
      </c>
      <c r="J47">
        <v>478854</v>
      </c>
    </row>
    <row r="48" spans="1:10" x14ac:dyDescent="0.3">
      <c r="A48" s="2" t="s">
        <v>18</v>
      </c>
      <c r="B48" t="s">
        <v>14</v>
      </c>
      <c r="C48">
        <v>2022</v>
      </c>
      <c r="D48">
        <v>33741</v>
      </c>
      <c r="F48">
        <v>12089</v>
      </c>
      <c r="G48">
        <v>55660</v>
      </c>
      <c r="H48">
        <v>96665</v>
      </c>
      <c r="I48">
        <v>546498</v>
      </c>
      <c r="J48">
        <v>546498</v>
      </c>
    </row>
    <row r="49" spans="1:10" x14ac:dyDescent="0.3">
      <c r="A49" s="2" t="s">
        <v>18</v>
      </c>
      <c r="B49" t="s">
        <v>14</v>
      </c>
      <c r="C49">
        <v>2023</v>
      </c>
      <c r="D49">
        <v>42151</v>
      </c>
      <c r="F49">
        <v>14925</v>
      </c>
      <c r="G49">
        <v>57534</v>
      </c>
      <c r="H49">
        <v>111814</v>
      </c>
      <c r="I49">
        <v>620430</v>
      </c>
      <c r="J49">
        <v>620430</v>
      </c>
    </row>
    <row r="50" spans="1:10" x14ac:dyDescent="0.3">
      <c r="A50" s="2" t="s">
        <v>18</v>
      </c>
      <c r="B50" t="s">
        <v>14</v>
      </c>
      <c r="C50">
        <v>2024</v>
      </c>
      <c r="D50">
        <v>56237</v>
      </c>
      <c r="F50">
        <v>18213</v>
      </c>
      <c r="G50">
        <v>75106</v>
      </c>
      <c r="H50">
        <v>129972</v>
      </c>
      <c r="I50">
        <v>767667</v>
      </c>
      <c r="J50">
        <v>767667</v>
      </c>
    </row>
    <row r="51" spans="1:10" x14ac:dyDescent="0.3">
      <c r="A51" s="2" t="s">
        <v>18</v>
      </c>
      <c r="B51" t="s">
        <v>14</v>
      </c>
      <c r="C51">
        <v>2025</v>
      </c>
      <c r="D51">
        <v>65669</v>
      </c>
      <c r="F51">
        <v>22126</v>
      </c>
      <c r="G51">
        <v>97622</v>
      </c>
      <c r="H51">
        <v>157489</v>
      </c>
      <c r="I51">
        <v>879774</v>
      </c>
      <c r="J51">
        <v>879774</v>
      </c>
    </row>
    <row r="52" spans="1:10" x14ac:dyDescent="0.3">
      <c r="A52" s="2" t="s">
        <v>38</v>
      </c>
      <c r="B52" t="s">
        <v>35</v>
      </c>
      <c r="C52">
        <v>2016</v>
      </c>
      <c r="D52">
        <v>108646</v>
      </c>
      <c r="E52">
        <v>30677</v>
      </c>
      <c r="F52">
        <v>24338</v>
      </c>
      <c r="G52">
        <v>245</v>
      </c>
      <c r="H52">
        <v>70875</v>
      </c>
      <c r="I52">
        <v>88291</v>
      </c>
      <c r="J52">
        <v>88291</v>
      </c>
    </row>
    <row r="53" spans="1:10" x14ac:dyDescent="0.3">
      <c r="A53" s="2" t="s">
        <v>38</v>
      </c>
      <c r="B53" t="s">
        <v>35</v>
      </c>
      <c r="C53">
        <v>2017</v>
      </c>
      <c r="D53">
        <v>117966</v>
      </c>
      <c r="E53">
        <v>32311</v>
      </c>
      <c r="F53">
        <v>26357</v>
      </c>
      <c r="G53">
        <v>289</v>
      </c>
      <c r="H53">
        <v>86017</v>
      </c>
      <c r="I53">
        <v>102333</v>
      </c>
      <c r="J53">
        <v>102333</v>
      </c>
    </row>
    <row r="54" spans="1:10" x14ac:dyDescent="0.3">
      <c r="A54" s="2" t="s">
        <v>38</v>
      </c>
      <c r="B54" t="s">
        <v>35</v>
      </c>
      <c r="C54">
        <v>2018</v>
      </c>
      <c r="D54">
        <v>123104</v>
      </c>
      <c r="E54">
        <v>32516</v>
      </c>
      <c r="F54">
        <v>25880</v>
      </c>
      <c r="G54">
        <v>247</v>
      </c>
      <c r="H54">
        <v>84937</v>
      </c>
      <c r="I54">
        <v>105126</v>
      </c>
      <c r="J54">
        <v>105126</v>
      </c>
    </row>
    <row r="55" spans="1:10" x14ac:dyDescent="0.3">
      <c r="A55" s="2" t="s">
        <v>38</v>
      </c>
      <c r="B55" t="s">
        <v>35</v>
      </c>
      <c r="C55">
        <v>2019</v>
      </c>
      <c r="D55">
        <v>146463</v>
      </c>
      <c r="E55">
        <v>39506</v>
      </c>
      <c r="F55">
        <v>31562</v>
      </c>
      <c r="G55">
        <v>62</v>
      </c>
      <c r="H55">
        <v>89071</v>
      </c>
      <c r="I55">
        <v>113901</v>
      </c>
      <c r="J55">
        <v>113901</v>
      </c>
    </row>
    <row r="56" spans="1:10" x14ac:dyDescent="0.3">
      <c r="A56" s="2" t="s">
        <v>38</v>
      </c>
      <c r="B56" t="s">
        <v>35</v>
      </c>
      <c r="C56">
        <v>2020</v>
      </c>
      <c r="D56">
        <v>156949</v>
      </c>
      <c r="E56">
        <v>42109</v>
      </c>
      <c r="F56">
        <v>32447</v>
      </c>
      <c r="G56">
        <v>8174</v>
      </c>
      <c r="H56">
        <v>83751</v>
      </c>
      <c r="I56">
        <v>120127</v>
      </c>
      <c r="J56">
        <v>120127</v>
      </c>
    </row>
    <row r="57" spans="1:10" x14ac:dyDescent="0.3">
      <c r="A57" s="2" t="s">
        <v>38</v>
      </c>
      <c r="B57" t="s">
        <v>35</v>
      </c>
      <c r="C57">
        <v>2021</v>
      </c>
      <c r="D57">
        <v>164177</v>
      </c>
      <c r="E57">
        <v>46546</v>
      </c>
      <c r="F57">
        <v>32562</v>
      </c>
      <c r="G57">
        <v>7795</v>
      </c>
      <c r="H57">
        <v>86063</v>
      </c>
      <c r="I57">
        <v>129992</v>
      </c>
      <c r="J57">
        <v>129992</v>
      </c>
    </row>
    <row r="58" spans="1:10" x14ac:dyDescent="0.3">
      <c r="A58" s="2" t="s">
        <v>38</v>
      </c>
      <c r="B58" t="s">
        <v>35</v>
      </c>
      <c r="C58">
        <v>2022</v>
      </c>
      <c r="D58">
        <v>191754</v>
      </c>
      <c r="E58">
        <v>53057</v>
      </c>
      <c r="F58">
        <v>38449</v>
      </c>
      <c r="G58">
        <v>7818</v>
      </c>
      <c r="H58">
        <v>88773</v>
      </c>
      <c r="I58">
        <v>140924</v>
      </c>
      <c r="J58">
        <v>140924</v>
      </c>
    </row>
    <row r="59" spans="1:10" x14ac:dyDescent="0.3">
      <c r="A59" s="2" t="s">
        <v>38</v>
      </c>
      <c r="B59" t="s">
        <v>35</v>
      </c>
      <c r="C59">
        <v>2023</v>
      </c>
      <c r="D59">
        <v>225458</v>
      </c>
      <c r="E59">
        <v>59259</v>
      </c>
      <c r="F59">
        <v>42303</v>
      </c>
      <c r="G59">
        <v>7688</v>
      </c>
      <c r="H59">
        <v>90058</v>
      </c>
      <c r="I59">
        <v>142859</v>
      </c>
      <c r="J59">
        <v>142859</v>
      </c>
    </row>
    <row r="60" spans="1:10" x14ac:dyDescent="0.3">
      <c r="A60" s="2" t="s">
        <v>38</v>
      </c>
      <c r="B60" t="s">
        <v>35</v>
      </c>
      <c r="C60">
        <v>2024</v>
      </c>
      <c r="D60">
        <v>240893</v>
      </c>
      <c r="E60">
        <v>64296</v>
      </c>
      <c r="F60">
        <v>46099</v>
      </c>
      <c r="G60">
        <v>8021</v>
      </c>
      <c r="H60">
        <v>90127</v>
      </c>
      <c r="I60">
        <v>145472</v>
      </c>
      <c r="J60">
        <v>145472</v>
      </c>
    </row>
    <row r="61" spans="1:10" x14ac:dyDescent="0.3">
      <c r="A61" s="2" t="s">
        <v>38</v>
      </c>
      <c r="B61" t="s">
        <v>35</v>
      </c>
      <c r="C61">
        <v>2025</v>
      </c>
      <c r="D61">
        <v>255324</v>
      </c>
      <c r="E61">
        <v>67407</v>
      </c>
      <c r="F61">
        <v>48797</v>
      </c>
      <c r="G61">
        <v>9392</v>
      </c>
      <c r="H61">
        <v>94394</v>
      </c>
      <c r="I61">
        <v>158649</v>
      </c>
      <c r="J61">
        <v>158649</v>
      </c>
    </row>
    <row r="62" spans="1:10" x14ac:dyDescent="0.3">
      <c r="A62" s="2" t="s">
        <v>37</v>
      </c>
      <c r="B62" t="s">
        <v>35</v>
      </c>
      <c r="C62">
        <v>2016</v>
      </c>
      <c r="D62">
        <v>53319</v>
      </c>
      <c r="E62">
        <v>14883</v>
      </c>
      <c r="F62">
        <v>12372</v>
      </c>
      <c r="G62">
        <v>0</v>
      </c>
      <c r="H62">
        <v>50164</v>
      </c>
      <c r="I62">
        <v>66289</v>
      </c>
      <c r="J62">
        <v>66289</v>
      </c>
    </row>
    <row r="63" spans="1:10" x14ac:dyDescent="0.3">
      <c r="A63" s="2" t="s">
        <v>37</v>
      </c>
      <c r="B63" t="s">
        <v>35</v>
      </c>
      <c r="C63">
        <v>2017</v>
      </c>
      <c r="D63">
        <v>62441</v>
      </c>
      <c r="E63">
        <v>17079</v>
      </c>
      <c r="F63">
        <v>13489</v>
      </c>
      <c r="G63">
        <v>0</v>
      </c>
      <c r="H63">
        <v>60600</v>
      </c>
      <c r="I63">
        <v>75098</v>
      </c>
      <c r="J63">
        <v>75098</v>
      </c>
    </row>
    <row r="64" spans="1:10" x14ac:dyDescent="0.3">
      <c r="A64" s="2" t="s">
        <v>37</v>
      </c>
      <c r="B64" t="s">
        <v>35</v>
      </c>
      <c r="C64">
        <v>2018</v>
      </c>
      <c r="D64">
        <v>68484</v>
      </c>
      <c r="E64">
        <v>18604</v>
      </c>
      <c r="F64">
        <v>14353</v>
      </c>
      <c r="G64">
        <v>0</v>
      </c>
      <c r="H64">
        <v>67838</v>
      </c>
      <c r="I64">
        <v>83148</v>
      </c>
      <c r="J64">
        <v>83148</v>
      </c>
    </row>
    <row r="65" spans="1:10" x14ac:dyDescent="0.3">
      <c r="A65" s="2" t="s">
        <v>37</v>
      </c>
      <c r="B65" t="s">
        <v>35</v>
      </c>
      <c r="C65">
        <v>2019</v>
      </c>
      <c r="D65">
        <v>70522</v>
      </c>
      <c r="E65">
        <v>18822</v>
      </c>
      <c r="F65">
        <v>16029</v>
      </c>
      <c r="G65">
        <v>0</v>
      </c>
      <c r="H65">
        <v>63835</v>
      </c>
      <c r="I65">
        <v>79349</v>
      </c>
      <c r="J65">
        <v>79349</v>
      </c>
    </row>
    <row r="66" spans="1:10" x14ac:dyDescent="0.3">
      <c r="A66" s="2" t="s">
        <v>37</v>
      </c>
      <c r="B66" t="s">
        <v>35</v>
      </c>
      <c r="C66">
        <v>2020</v>
      </c>
      <c r="D66">
        <v>82675</v>
      </c>
      <c r="E66">
        <v>20170</v>
      </c>
      <c r="F66">
        <v>15410</v>
      </c>
      <c r="G66">
        <v>0</v>
      </c>
      <c r="H66">
        <v>62778</v>
      </c>
      <c r="I66">
        <v>84066</v>
      </c>
      <c r="J66">
        <v>84066</v>
      </c>
    </row>
    <row r="67" spans="1:10" x14ac:dyDescent="0.3">
      <c r="A67" s="2" t="s">
        <v>37</v>
      </c>
      <c r="B67" t="s">
        <v>35</v>
      </c>
      <c r="C67">
        <v>2021</v>
      </c>
      <c r="D67">
        <v>90791</v>
      </c>
      <c r="E67">
        <v>22267</v>
      </c>
      <c r="F67">
        <v>16639</v>
      </c>
      <c r="G67">
        <v>4633</v>
      </c>
      <c r="H67">
        <v>63328</v>
      </c>
      <c r="I67">
        <v>91800</v>
      </c>
      <c r="J67">
        <v>91800</v>
      </c>
    </row>
    <row r="68" spans="1:10" x14ac:dyDescent="0.3">
      <c r="A68" s="2" t="s">
        <v>37</v>
      </c>
      <c r="B68" t="s">
        <v>35</v>
      </c>
      <c r="C68">
        <v>2022</v>
      </c>
      <c r="D68">
        <v>100472</v>
      </c>
      <c r="E68">
        <v>27889</v>
      </c>
      <c r="F68">
        <v>19423</v>
      </c>
      <c r="G68">
        <v>5325</v>
      </c>
      <c r="H68">
        <v>74227</v>
      </c>
      <c r="I68">
        <v>107511</v>
      </c>
      <c r="J68">
        <v>107511</v>
      </c>
    </row>
    <row r="69" spans="1:10" x14ac:dyDescent="0.3">
      <c r="A69" s="2" t="s">
        <v>37</v>
      </c>
      <c r="B69" t="s">
        <v>35</v>
      </c>
      <c r="C69">
        <v>2023</v>
      </c>
      <c r="D69">
        <v>121641</v>
      </c>
      <c r="E69">
        <v>31491</v>
      </c>
      <c r="F69">
        <v>22146</v>
      </c>
      <c r="G69">
        <v>5474</v>
      </c>
      <c r="H69">
        <v>73252</v>
      </c>
      <c r="I69">
        <v>116729</v>
      </c>
      <c r="J69">
        <v>116729</v>
      </c>
    </row>
    <row r="70" spans="1:10" x14ac:dyDescent="0.3">
      <c r="A70" s="2" t="s">
        <v>37</v>
      </c>
      <c r="B70" t="s">
        <v>35</v>
      </c>
      <c r="C70">
        <v>2024</v>
      </c>
      <c r="D70">
        <v>146767</v>
      </c>
      <c r="E70">
        <v>35130</v>
      </c>
      <c r="F70">
        <v>24108</v>
      </c>
      <c r="G70">
        <v>8299</v>
      </c>
      <c r="H70">
        <v>73338</v>
      </c>
      <c r="I70">
        <v>124596</v>
      </c>
      <c r="J70">
        <v>124596</v>
      </c>
    </row>
    <row r="71" spans="1:10" x14ac:dyDescent="0.3">
      <c r="A71" s="2" t="s">
        <v>37</v>
      </c>
      <c r="B71" t="s">
        <v>35</v>
      </c>
      <c r="C71">
        <v>2025</v>
      </c>
      <c r="D71">
        <v>162990</v>
      </c>
      <c r="E71">
        <v>39236</v>
      </c>
      <c r="F71">
        <v>26750</v>
      </c>
      <c r="G71">
        <v>8227</v>
      </c>
      <c r="H71">
        <v>93745</v>
      </c>
      <c r="I71">
        <v>147795</v>
      </c>
      <c r="J71">
        <v>147795</v>
      </c>
    </row>
    <row r="72" spans="1:10" x14ac:dyDescent="0.3">
      <c r="A72" s="2" t="s">
        <v>40</v>
      </c>
      <c r="B72" t="s">
        <v>35</v>
      </c>
      <c r="C72">
        <v>2016</v>
      </c>
      <c r="D72">
        <v>51244</v>
      </c>
      <c r="E72">
        <v>10796</v>
      </c>
      <c r="F72">
        <v>8957</v>
      </c>
      <c r="G72">
        <v>558</v>
      </c>
      <c r="H72">
        <v>45651</v>
      </c>
      <c r="I72">
        <v>71590</v>
      </c>
      <c r="J72">
        <v>71590</v>
      </c>
    </row>
    <row r="73" spans="1:10" x14ac:dyDescent="0.3">
      <c r="A73" s="2" t="s">
        <v>40</v>
      </c>
      <c r="B73" t="s">
        <v>35</v>
      </c>
      <c r="C73">
        <v>2017</v>
      </c>
      <c r="D73">
        <v>55448</v>
      </c>
      <c r="E73">
        <v>11321</v>
      </c>
      <c r="F73">
        <v>8518</v>
      </c>
      <c r="G73">
        <v>594</v>
      </c>
      <c r="H73">
        <v>51184</v>
      </c>
      <c r="I73">
        <v>78672</v>
      </c>
      <c r="J73">
        <v>78672</v>
      </c>
    </row>
    <row r="74" spans="1:10" x14ac:dyDescent="0.3">
      <c r="A74" s="2" t="s">
        <v>40</v>
      </c>
      <c r="B74" t="s">
        <v>35</v>
      </c>
      <c r="C74">
        <v>2018</v>
      </c>
      <c r="D74">
        <v>54487</v>
      </c>
      <c r="E74">
        <v>10387</v>
      </c>
      <c r="F74">
        <v>8003</v>
      </c>
      <c r="G74">
        <v>583</v>
      </c>
      <c r="H74">
        <v>47022</v>
      </c>
      <c r="I74">
        <v>75391</v>
      </c>
      <c r="J74">
        <v>75391</v>
      </c>
    </row>
    <row r="75" spans="1:10" x14ac:dyDescent="0.3">
      <c r="A75" s="2" t="s">
        <v>40</v>
      </c>
      <c r="B75" t="s">
        <v>35</v>
      </c>
      <c r="C75">
        <v>2019</v>
      </c>
      <c r="D75">
        <v>59019</v>
      </c>
      <c r="E75">
        <v>11613</v>
      </c>
      <c r="F75">
        <v>9018</v>
      </c>
      <c r="G75">
        <v>738</v>
      </c>
      <c r="H75">
        <v>55216</v>
      </c>
      <c r="I75">
        <v>82586</v>
      </c>
      <c r="J75">
        <v>82586</v>
      </c>
    </row>
    <row r="76" spans="1:10" x14ac:dyDescent="0.3">
      <c r="A76" s="2" t="s">
        <v>40</v>
      </c>
      <c r="B76" t="s">
        <v>35</v>
      </c>
      <c r="C76">
        <v>2020</v>
      </c>
      <c r="D76">
        <v>61138</v>
      </c>
      <c r="E76">
        <v>12342</v>
      </c>
      <c r="F76">
        <v>9772</v>
      </c>
      <c r="G76">
        <v>733</v>
      </c>
      <c r="H76">
        <v>54179</v>
      </c>
      <c r="I76">
        <v>81000</v>
      </c>
      <c r="J76">
        <v>81000</v>
      </c>
    </row>
    <row r="77" spans="1:10" x14ac:dyDescent="0.3">
      <c r="A77" s="2" t="s">
        <v>40</v>
      </c>
      <c r="B77" t="s">
        <v>35</v>
      </c>
      <c r="C77">
        <v>2021</v>
      </c>
      <c r="D77">
        <v>61935</v>
      </c>
      <c r="E77">
        <v>14771</v>
      </c>
      <c r="F77">
        <v>10868</v>
      </c>
      <c r="G77">
        <v>509</v>
      </c>
      <c r="H77">
        <v>53805</v>
      </c>
      <c r="I77">
        <v>82566</v>
      </c>
      <c r="J77">
        <v>82566</v>
      </c>
    </row>
    <row r="78" spans="1:10" x14ac:dyDescent="0.3">
      <c r="A78" s="2" t="s">
        <v>40</v>
      </c>
      <c r="B78" t="s">
        <v>35</v>
      </c>
      <c r="C78">
        <v>2022</v>
      </c>
      <c r="D78">
        <v>79312</v>
      </c>
      <c r="E78">
        <v>16684</v>
      </c>
      <c r="F78">
        <v>12243</v>
      </c>
      <c r="G78">
        <v>532</v>
      </c>
      <c r="H78">
        <v>64307</v>
      </c>
      <c r="I78">
        <v>107276</v>
      </c>
      <c r="J78">
        <v>107276</v>
      </c>
    </row>
    <row r="79" spans="1:10" x14ac:dyDescent="0.3">
      <c r="A79" s="2" t="s">
        <v>40</v>
      </c>
      <c r="B79" t="s">
        <v>35</v>
      </c>
      <c r="C79">
        <v>2023</v>
      </c>
      <c r="D79">
        <v>90488</v>
      </c>
      <c r="E79">
        <v>16839</v>
      </c>
      <c r="F79">
        <v>11366</v>
      </c>
      <c r="G79">
        <v>1008</v>
      </c>
      <c r="H79">
        <v>76570</v>
      </c>
      <c r="I79">
        <v>116924</v>
      </c>
      <c r="J79">
        <v>116924</v>
      </c>
    </row>
    <row r="80" spans="1:10" x14ac:dyDescent="0.3">
      <c r="A80" s="2" t="s">
        <v>40</v>
      </c>
      <c r="B80" t="s">
        <v>35</v>
      </c>
      <c r="C80">
        <v>2024</v>
      </c>
      <c r="D80">
        <v>89760</v>
      </c>
      <c r="E80">
        <v>16752</v>
      </c>
      <c r="F80">
        <v>11112</v>
      </c>
      <c r="G80">
        <v>1255</v>
      </c>
      <c r="H80">
        <v>73943</v>
      </c>
      <c r="I80">
        <v>115064</v>
      </c>
      <c r="J80">
        <v>115064</v>
      </c>
    </row>
    <row r="81" spans="1:10" x14ac:dyDescent="0.3">
      <c r="A81" s="2" t="s">
        <v>40</v>
      </c>
      <c r="B81" t="s">
        <v>35</v>
      </c>
      <c r="C81">
        <v>2025</v>
      </c>
      <c r="D81">
        <v>89088</v>
      </c>
      <c r="E81">
        <v>18021</v>
      </c>
      <c r="F81">
        <v>13218</v>
      </c>
      <c r="G81">
        <v>1477</v>
      </c>
      <c r="H81">
        <v>80736</v>
      </c>
      <c r="I81">
        <v>128396</v>
      </c>
      <c r="J81">
        <v>128396</v>
      </c>
    </row>
    <row r="82" spans="1:10" x14ac:dyDescent="0.3">
      <c r="A82" s="2" t="s">
        <v>36</v>
      </c>
      <c r="B82" t="s">
        <v>35</v>
      </c>
      <c r="C82">
        <v>2016</v>
      </c>
      <c r="D82">
        <v>31136</v>
      </c>
      <c r="E82">
        <v>6654</v>
      </c>
      <c r="F82">
        <v>5602</v>
      </c>
      <c r="G82">
        <v>1090</v>
      </c>
      <c r="H82">
        <v>27109</v>
      </c>
      <c r="I82">
        <v>39341</v>
      </c>
      <c r="J82">
        <v>39341</v>
      </c>
    </row>
    <row r="83" spans="1:10" x14ac:dyDescent="0.3">
      <c r="A83" s="2" t="s">
        <v>36</v>
      </c>
      <c r="B83" t="s">
        <v>35</v>
      </c>
      <c r="C83">
        <v>2017</v>
      </c>
      <c r="D83">
        <v>47568</v>
      </c>
      <c r="E83">
        <v>10390</v>
      </c>
      <c r="F83">
        <v>8606</v>
      </c>
      <c r="G83">
        <v>582</v>
      </c>
      <c r="H83">
        <v>32664</v>
      </c>
      <c r="I83">
        <v>45762</v>
      </c>
      <c r="J83">
        <v>45762</v>
      </c>
    </row>
    <row r="84" spans="1:10" x14ac:dyDescent="0.3">
      <c r="A84" s="2" t="s">
        <v>36</v>
      </c>
      <c r="B84" t="s">
        <v>35</v>
      </c>
      <c r="C84">
        <v>2018</v>
      </c>
      <c r="D84">
        <v>50569</v>
      </c>
      <c r="E84">
        <v>11246</v>
      </c>
      <c r="F84">
        <v>8722</v>
      </c>
      <c r="G84">
        <v>557</v>
      </c>
      <c r="H84">
        <v>36108</v>
      </c>
      <c r="I84">
        <v>47989</v>
      </c>
      <c r="J84">
        <v>47989</v>
      </c>
    </row>
    <row r="85" spans="1:10" x14ac:dyDescent="0.3">
      <c r="A85" s="2" t="s">
        <v>36</v>
      </c>
      <c r="B85" t="s">
        <v>35</v>
      </c>
      <c r="C85">
        <v>2019</v>
      </c>
      <c r="D85">
        <v>60427</v>
      </c>
      <c r="E85">
        <v>13926</v>
      </c>
      <c r="F85">
        <v>10120</v>
      </c>
      <c r="G85">
        <v>4195</v>
      </c>
      <c r="H85">
        <v>41095</v>
      </c>
      <c r="I85">
        <v>58349</v>
      </c>
      <c r="J85">
        <v>58349</v>
      </c>
    </row>
    <row r="86" spans="1:10" x14ac:dyDescent="0.3">
      <c r="A86" s="2" t="s">
        <v>36</v>
      </c>
      <c r="B86" t="s">
        <v>35</v>
      </c>
      <c r="C86">
        <v>2020</v>
      </c>
      <c r="D86">
        <v>70676</v>
      </c>
      <c r="E86">
        <v>17316</v>
      </c>
      <c r="F86">
        <v>11057</v>
      </c>
      <c r="G86">
        <v>7986</v>
      </c>
      <c r="H86">
        <v>50724</v>
      </c>
      <c r="I86">
        <v>82819</v>
      </c>
      <c r="J86">
        <v>82819</v>
      </c>
    </row>
    <row r="87" spans="1:10" x14ac:dyDescent="0.3">
      <c r="A87" s="2" t="s">
        <v>36</v>
      </c>
      <c r="B87" t="s">
        <v>35</v>
      </c>
      <c r="C87">
        <v>2021</v>
      </c>
      <c r="D87">
        <v>75379</v>
      </c>
      <c r="E87">
        <v>20048</v>
      </c>
      <c r="F87">
        <v>11169</v>
      </c>
      <c r="G87">
        <v>6864</v>
      </c>
      <c r="H87">
        <v>59370</v>
      </c>
      <c r="I87">
        <v>86047</v>
      </c>
      <c r="J87">
        <v>86047</v>
      </c>
    </row>
    <row r="88" spans="1:10" x14ac:dyDescent="0.3">
      <c r="A88" s="2" t="s">
        <v>36</v>
      </c>
      <c r="B88" t="s">
        <v>35</v>
      </c>
      <c r="C88">
        <v>2022</v>
      </c>
      <c r="D88">
        <v>85651</v>
      </c>
      <c r="E88">
        <v>20529</v>
      </c>
      <c r="F88">
        <v>13523</v>
      </c>
      <c r="G88">
        <v>6343</v>
      </c>
      <c r="H88">
        <v>61371</v>
      </c>
      <c r="I88">
        <v>88921</v>
      </c>
      <c r="J88">
        <v>88921</v>
      </c>
    </row>
    <row r="89" spans="1:10" x14ac:dyDescent="0.3">
      <c r="A89" s="2" t="s">
        <v>36</v>
      </c>
      <c r="B89" t="s">
        <v>35</v>
      </c>
      <c r="C89">
        <v>2023</v>
      </c>
      <c r="D89">
        <v>101456</v>
      </c>
      <c r="E89">
        <v>22628</v>
      </c>
      <c r="F89">
        <v>14845</v>
      </c>
      <c r="G89">
        <v>4794</v>
      </c>
      <c r="H89">
        <v>64862</v>
      </c>
      <c r="I89">
        <v>93250</v>
      </c>
      <c r="J89">
        <v>93250</v>
      </c>
    </row>
    <row r="90" spans="1:10" x14ac:dyDescent="0.3">
      <c r="A90" s="2" t="s">
        <v>36</v>
      </c>
      <c r="B90" t="s">
        <v>35</v>
      </c>
      <c r="C90">
        <v>2024</v>
      </c>
      <c r="D90">
        <v>109913</v>
      </c>
      <c r="E90">
        <v>24198</v>
      </c>
      <c r="F90">
        <v>15710</v>
      </c>
      <c r="G90">
        <v>5758</v>
      </c>
      <c r="H90">
        <v>67720</v>
      </c>
      <c r="I90">
        <v>99006</v>
      </c>
      <c r="J90">
        <v>99006</v>
      </c>
    </row>
    <row r="91" spans="1:10" x14ac:dyDescent="0.3">
      <c r="A91" s="2" t="s">
        <v>36</v>
      </c>
      <c r="B91" t="s">
        <v>35</v>
      </c>
      <c r="C91">
        <v>2025</v>
      </c>
      <c r="D91">
        <v>117055</v>
      </c>
      <c r="E91">
        <v>25504</v>
      </c>
      <c r="F91">
        <v>17399</v>
      </c>
      <c r="G91">
        <v>6276</v>
      </c>
      <c r="H91">
        <v>69112</v>
      </c>
      <c r="I91">
        <v>104480</v>
      </c>
      <c r="J91">
        <v>104480</v>
      </c>
    </row>
    <row r="92" spans="1:10" x14ac:dyDescent="0.3">
      <c r="A92" s="2" t="s">
        <v>39</v>
      </c>
      <c r="B92" t="s">
        <v>35</v>
      </c>
      <c r="C92">
        <v>2016</v>
      </c>
      <c r="D92">
        <v>26494</v>
      </c>
      <c r="E92">
        <v>4260</v>
      </c>
      <c r="F92">
        <v>3027</v>
      </c>
      <c r="G92">
        <v>1091</v>
      </c>
      <c r="H92">
        <v>14155</v>
      </c>
      <c r="I92">
        <v>22525</v>
      </c>
      <c r="J92">
        <v>22525</v>
      </c>
    </row>
    <row r="93" spans="1:10" x14ac:dyDescent="0.3">
      <c r="A93" s="2" t="s">
        <v>39</v>
      </c>
      <c r="B93" t="s">
        <v>35</v>
      </c>
      <c r="C93">
        <v>2017</v>
      </c>
      <c r="D93">
        <v>29141</v>
      </c>
      <c r="E93">
        <v>4184</v>
      </c>
      <c r="F93">
        <v>2851</v>
      </c>
      <c r="G93">
        <v>1366</v>
      </c>
      <c r="H93">
        <v>15998</v>
      </c>
      <c r="I93">
        <v>26057</v>
      </c>
      <c r="J93">
        <v>26057</v>
      </c>
    </row>
    <row r="94" spans="1:10" x14ac:dyDescent="0.3">
      <c r="A94" s="2" t="s">
        <v>39</v>
      </c>
      <c r="B94" t="s">
        <v>35</v>
      </c>
      <c r="C94">
        <v>2018</v>
      </c>
      <c r="D94">
        <v>30773</v>
      </c>
      <c r="E94">
        <v>4710</v>
      </c>
      <c r="F94">
        <v>3786</v>
      </c>
      <c r="G94">
        <v>2397</v>
      </c>
      <c r="H94">
        <v>18401</v>
      </c>
      <c r="I94">
        <v>30431</v>
      </c>
      <c r="J94">
        <v>30431</v>
      </c>
    </row>
    <row r="95" spans="1:10" x14ac:dyDescent="0.3">
      <c r="A95" s="2" t="s">
        <v>39</v>
      </c>
      <c r="B95" t="s">
        <v>35</v>
      </c>
      <c r="C95">
        <v>2019</v>
      </c>
      <c r="D95">
        <v>34742</v>
      </c>
      <c r="E95">
        <v>6271</v>
      </c>
      <c r="F95">
        <v>4289</v>
      </c>
      <c r="G95">
        <v>1996</v>
      </c>
      <c r="H95">
        <v>19841</v>
      </c>
      <c r="I95">
        <v>33446</v>
      </c>
      <c r="J95">
        <v>33446</v>
      </c>
    </row>
    <row r="96" spans="1:10" x14ac:dyDescent="0.3">
      <c r="A96" s="2" t="s">
        <v>39</v>
      </c>
      <c r="B96" t="s">
        <v>35</v>
      </c>
      <c r="C96">
        <v>2020</v>
      </c>
      <c r="D96">
        <v>36868</v>
      </c>
      <c r="E96">
        <v>5503</v>
      </c>
      <c r="F96">
        <v>3897</v>
      </c>
      <c r="G96">
        <v>3670</v>
      </c>
      <c r="H96">
        <v>21377</v>
      </c>
      <c r="I96">
        <v>37318</v>
      </c>
      <c r="J96">
        <v>37318</v>
      </c>
    </row>
    <row r="97" spans="1:10" x14ac:dyDescent="0.3">
      <c r="A97" s="2" t="s">
        <v>39</v>
      </c>
      <c r="B97" t="s">
        <v>35</v>
      </c>
      <c r="C97">
        <v>2021</v>
      </c>
      <c r="D97">
        <v>37855</v>
      </c>
      <c r="E97">
        <v>6796</v>
      </c>
      <c r="F97">
        <v>4353</v>
      </c>
      <c r="G97">
        <v>2901</v>
      </c>
      <c r="H97">
        <v>24428</v>
      </c>
      <c r="I97">
        <v>39602</v>
      </c>
      <c r="J97">
        <v>39602</v>
      </c>
    </row>
    <row r="98" spans="1:10" x14ac:dyDescent="0.3">
      <c r="A98" s="2" t="s">
        <v>39</v>
      </c>
      <c r="B98" t="s">
        <v>35</v>
      </c>
      <c r="C98">
        <v>2022</v>
      </c>
      <c r="D98">
        <v>44646</v>
      </c>
      <c r="E98">
        <v>8020</v>
      </c>
      <c r="F98">
        <v>5630</v>
      </c>
      <c r="G98">
        <v>2618</v>
      </c>
      <c r="H98">
        <v>26447</v>
      </c>
      <c r="I98">
        <v>44416</v>
      </c>
      <c r="J98">
        <v>44416</v>
      </c>
    </row>
    <row r="99" spans="1:10" x14ac:dyDescent="0.3">
      <c r="A99" s="2" t="s">
        <v>39</v>
      </c>
      <c r="B99" t="s">
        <v>35</v>
      </c>
      <c r="C99">
        <v>2023</v>
      </c>
      <c r="D99">
        <v>53290</v>
      </c>
      <c r="E99">
        <v>7763</v>
      </c>
      <c r="F99">
        <v>4857</v>
      </c>
      <c r="G99">
        <v>2740</v>
      </c>
      <c r="H99">
        <v>27844</v>
      </c>
      <c r="I99">
        <v>45827</v>
      </c>
      <c r="J99">
        <v>45827</v>
      </c>
    </row>
    <row r="100" spans="1:10" x14ac:dyDescent="0.3">
      <c r="A100" s="2" t="s">
        <v>39</v>
      </c>
      <c r="B100" t="s">
        <v>35</v>
      </c>
      <c r="C100">
        <v>2024</v>
      </c>
      <c r="D100">
        <v>51996</v>
      </c>
      <c r="E100">
        <v>4506</v>
      </c>
      <c r="F100">
        <v>2397</v>
      </c>
      <c r="G100">
        <v>2537</v>
      </c>
      <c r="H100">
        <v>26228</v>
      </c>
      <c r="I100">
        <v>43149</v>
      </c>
      <c r="J100">
        <v>43149</v>
      </c>
    </row>
    <row r="101" spans="1:10" x14ac:dyDescent="0.3">
      <c r="A101" s="2" t="s">
        <v>39</v>
      </c>
      <c r="B101" t="s">
        <v>35</v>
      </c>
      <c r="C101">
        <v>2025</v>
      </c>
      <c r="D101">
        <v>52988</v>
      </c>
      <c r="E101">
        <v>6964</v>
      </c>
      <c r="F101">
        <v>4253</v>
      </c>
      <c r="G101">
        <v>2025</v>
      </c>
      <c r="H101">
        <v>26919</v>
      </c>
      <c r="I101">
        <v>44267</v>
      </c>
      <c r="J101">
        <v>44267</v>
      </c>
    </row>
    <row r="102" spans="1:10" x14ac:dyDescent="0.3">
      <c r="A102" s="2" t="s">
        <v>24</v>
      </c>
      <c r="B102" t="s">
        <v>21</v>
      </c>
      <c r="C102">
        <v>2016</v>
      </c>
      <c r="D102">
        <v>32186</v>
      </c>
      <c r="E102">
        <v>5910</v>
      </c>
      <c r="F102">
        <v>4151</v>
      </c>
      <c r="G102">
        <v>177</v>
      </c>
      <c r="H102">
        <v>6357</v>
      </c>
      <c r="I102">
        <v>14793</v>
      </c>
      <c r="J102">
        <v>14793</v>
      </c>
    </row>
    <row r="103" spans="1:10" x14ac:dyDescent="0.3">
      <c r="A103" s="2" t="s">
        <v>24</v>
      </c>
      <c r="B103" t="s">
        <v>21</v>
      </c>
      <c r="C103">
        <v>2017</v>
      </c>
      <c r="D103">
        <v>33162</v>
      </c>
      <c r="E103">
        <v>6328</v>
      </c>
      <c r="F103">
        <v>4490</v>
      </c>
      <c r="G103">
        <v>277</v>
      </c>
      <c r="H103">
        <v>6528</v>
      </c>
      <c r="I103">
        <v>15706</v>
      </c>
      <c r="J103">
        <v>15706</v>
      </c>
    </row>
    <row r="104" spans="1:10" x14ac:dyDescent="0.3">
      <c r="A104" s="2" t="s">
        <v>24</v>
      </c>
      <c r="B104" t="s">
        <v>21</v>
      </c>
      <c r="C104">
        <v>2018</v>
      </c>
      <c r="D104">
        <v>35545</v>
      </c>
      <c r="E104">
        <v>7499</v>
      </c>
      <c r="F104">
        <v>5227</v>
      </c>
      <c r="G104">
        <v>0</v>
      </c>
      <c r="H104">
        <v>7065</v>
      </c>
      <c r="I104">
        <v>17862</v>
      </c>
      <c r="J104">
        <v>17862</v>
      </c>
    </row>
    <row r="105" spans="1:10" x14ac:dyDescent="0.3">
      <c r="A105" s="2" t="s">
        <v>24</v>
      </c>
      <c r="B105" t="s">
        <v>21</v>
      </c>
      <c r="C105">
        <v>2019</v>
      </c>
      <c r="D105">
        <v>39310</v>
      </c>
      <c r="E105">
        <v>8880</v>
      </c>
      <c r="F105">
        <v>6060</v>
      </c>
      <c r="G105">
        <v>99</v>
      </c>
      <c r="H105">
        <v>7651</v>
      </c>
      <c r="I105">
        <v>18629</v>
      </c>
      <c r="J105">
        <v>18629</v>
      </c>
    </row>
    <row r="106" spans="1:10" x14ac:dyDescent="0.3">
      <c r="A106" s="2" t="s">
        <v>24</v>
      </c>
      <c r="B106" t="s">
        <v>21</v>
      </c>
      <c r="C106">
        <v>2020</v>
      </c>
      <c r="D106">
        <v>39783</v>
      </c>
      <c r="E106">
        <v>9861</v>
      </c>
      <c r="F106">
        <v>6756</v>
      </c>
      <c r="G106">
        <v>0</v>
      </c>
      <c r="H106">
        <v>8013</v>
      </c>
      <c r="I106">
        <v>20153</v>
      </c>
      <c r="J106">
        <v>20153</v>
      </c>
    </row>
    <row r="107" spans="1:10" x14ac:dyDescent="0.3">
      <c r="A107" s="2" t="s">
        <v>24</v>
      </c>
      <c r="B107" t="s">
        <v>21</v>
      </c>
      <c r="C107">
        <v>2021</v>
      </c>
      <c r="D107">
        <v>47028</v>
      </c>
      <c r="E107">
        <v>11626</v>
      </c>
      <c r="F107">
        <v>7999</v>
      </c>
      <c r="G107">
        <v>0</v>
      </c>
      <c r="H107">
        <v>47439</v>
      </c>
      <c r="I107">
        <v>68740</v>
      </c>
      <c r="J107">
        <v>68740</v>
      </c>
    </row>
    <row r="108" spans="1:10" x14ac:dyDescent="0.3">
      <c r="A108" s="2" t="s">
        <v>24</v>
      </c>
      <c r="B108" t="s">
        <v>21</v>
      </c>
      <c r="C108">
        <v>2022</v>
      </c>
      <c r="D108">
        <v>52446</v>
      </c>
      <c r="E108">
        <v>12857</v>
      </c>
      <c r="F108">
        <v>8892</v>
      </c>
      <c r="G108">
        <v>1043</v>
      </c>
      <c r="H108">
        <v>48826</v>
      </c>
      <c r="I108">
        <v>70506</v>
      </c>
      <c r="J108">
        <v>70506</v>
      </c>
    </row>
    <row r="109" spans="1:10" x14ac:dyDescent="0.3">
      <c r="A109" s="2" t="s">
        <v>24</v>
      </c>
      <c r="B109" t="s">
        <v>21</v>
      </c>
      <c r="C109">
        <v>2023</v>
      </c>
      <c r="D109">
        <v>60580</v>
      </c>
      <c r="E109">
        <v>14147</v>
      </c>
      <c r="F109">
        <v>10143</v>
      </c>
      <c r="G109">
        <v>1219</v>
      </c>
      <c r="H109">
        <v>50069</v>
      </c>
      <c r="I109">
        <v>73077</v>
      </c>
      <c r="J109">
        <v>73077</v>
      </c>
    </row>
    <row r="110" spans="1:10" x14ac:dyDescent="0.3">
      <c r="A110" s="2" t="s">
        <v>24</v>
      </c>
      <c r="B110" t="s">
        <v>21</v>
      </c>
      <c r="C110">
        <v>2024</v>
      </c>
      <c r="D110">
        <v>61896</v>
      </c>
      <c r="E110">
        <v>14659</v>
      </c>
      <c r="F110">
        <v>10282</v>
      </c>
      <c r="G110">
        <v>1484</v>
      </c>
      <c r="H110">
        <v>50983</v>
      </c>
      <c r="I110">
        <v>78489</v>
      </c>
      <c r="J110">
        <v>78489</v>
      </c>
    </row>
    <row r="111" spans="1:10" x14ac:dyDescent="0.3">
      <c r="A111" s="2" t="s">
        <v>24</v>
      </c>
      <c r="B111" t="s">
        <v>21</v>
      </c>
      <c r="C111">
        <v>2025</v>
      </c>
      <c r="D111">
        <v>63121</v>
      </c>
      <c r="E111">
        <v>14843</v>
      </c>
      <c r="F111">
        <v>10671</v>
      </c>
      <c r="G111">
        <v>1648</v>
      </c>
      <c r="H111">
        <v>49167</v>
      </c>
      <c r="I111">
        <v>79863</v>
      </c>
      <c r="J111">
        <v>79863</v>
      </c>
    </row>
    <row r="112" spans="1:10" x14ac:dyDescent="0.3">
      <c r="A112" s="2" t="s">
        <v>25</v>
      </c>
      <c r="B112" t="s">
        <v>21</v>
      </c>
      <c r="C112">
        <v>2016</v>
      </c>
      <c r="D112">
        <v>39192</v>
      </c>
      <c r="E112">
        <v>14531</v>
      </c>
      <c r="F112">
        <v>9501</v>
      </c>
      <c r="G112">
        <v>84</v>
      </c>
      <c r="H112">
        <v>41875</v>
      </c>
      <c r="I112">
        <v>51651</v>
      </c>
      <c r="J112">
        <v>51651</v>
      </c>
    </row>
    <row r="113" spans="1:10" x14ac:dyDescent="0.3">
      <c r="A113" s="2" t="s">
        <v>25</v>
      </c>
      <c r="B113" t="s">
        <v>21</v>
      </c>
      <c r="C113">
        <v>2017</v>
      </c>
      <c r="D113">
        <v>42768</v>
      </c>
      <c r="E113">
        <v>15470</v>
      </c>
      <c r="F113">
        <v>10477</v>
      </c>
      <c r="G113">
        <v>46</v>
      </c>
      <c r="H113">
        <v>45198</v>
      </c>
      <c r="I113">
        <v>55898</v>
      </c>
      <c r="J113">
        <v>55898</v>
      </c>
    </row>
    <row r="114" spans="1:10" x14ac:dyDescent="0.3">
      <c r="A114" s="2" t="s">
        <v>25</v>
      </c>
      <c r="B114" t="s">
        <v>21</v>
      </c>
      <c r="C114">
        <v>2018</v>
      </c>
      <c r="D114">
        <v>43449</v>
      </c>
      <c r="E114">
        <v>16521</v>
      </c>
      <c r="F114">
        <v>11493</v>
      </c>
      <c r="G114">
        <v>36</v>
      </c>
      <c r="H114">
        <v>51290</v>
      </c>
      <c r="I114">
        <v>64241</v>
      </c>
      <c r="J114">
        <v>64241</v>
      </c>
    </row>
    <row r="115" spans="1:10" x14ac:dyDescent="0.3">
      <c r="A115" s="2" t="s">
        <v>25</v>
      </c>
      <c r="B115" t="s">
        <v>21</v>
      </c>
      <c r="C115">
        <v>2019</v>
      </c>
      <c r="D115">
        <v>48340</v>
      </c>
      <c r="E115">
        <v>18537</v>
      </c>
      <c r="F115">
        <v>12836</v>
      </c>
      <c r="G115">
        <v>13</v>
      </c>
      <c r="H115">
        <v>57915</v>
      </c>
      <c r="I115">
        <v>71739</v>
      </c>
      <c r="J115">
        <v>71739</v>
      </c>
    </row>
    <row r="116" spans="1:10" x14ac:dyDescent="0.3">
      <c r="A116" s="2" t="s">
        <v>25</v>
      </c>
      <c r="B116" t="s">
        <v>21</v>
      </c>
      <c r="C116">
        <v>2020</v>
      </c>
      <c r="D116">
        <v>49388</v>
      </c>
      <c r="E116">
        <v>19344</v>
      </c>
      <c r="F116">
        <v>15593</v>
      </c>
      <c r="G116">
        <v>277</v>
      </c>
      <c r="H116">
        <v>64044</v>
      </c>
      <c r="I116">
        <v>77311</v>
      </c>
      <c r="J116">
        <v>77311</v>
      </c>
    </row>
    <row r="117" spans="1:10" x14ac:dyDescent="0.3">
      <c r="A117" s="2" t="s">
        <v>25</v>
      </c>
      <c r="B117" t="s">
        <v>21</v>
      </c>
      <c r="C117">
        <v>2021</v>
      </c>
      <c r="D117">
        <v>49257</v>
      </c>
      <c r="E117">
        <v>17065</v>
      </c>
      <c r="F117">
        <v>13383</v>
      </c>
      <c r="G117">
        <v>271</v>
      </c>
      <c r="H117">
        <v>59116</v>
      </c>
      <c r="I117">
        <v>73761</v>
      </c>
      <c r="J117">
        <v>73761</v>
      </c>
    </row>
    <row r="118" spans="1:10" x14ac:dyDescent="0.3">
      <c r="A118" s="2" t="s">
        <v>25</v>
      </c>
      <c r="B118" t="s">
        <v>21</v>
      </c>
      <c r="C118">
        <v>2022</v>
      </c>
      <c r="D118">
        <v>60645</v>
      </c>
      <c r="E118">
        <v>20623</v>
      </c>
      <c r="F118">
        <v>15503</v>
      </c>
      <c r="G118">
        <v>249</v>
      </c>
      <c r="H118">
        <v>61223</v>
      </c>
      <c r="I118">
        <v>77196</v>
      </c>
      <c r="J118">
        <v>77196</v>
      </c>
    </row>
    <row r="119" spans="1:10" x14ac:dyDescent="0.3">
      <c r="A119" s="2" t="s">
        <v>25</v>
      </c>
      <c r="B119" t="s">
        <v>21</v>
      </c>
      <c r="C119">
        <v>2023</v>
      </c>
      <c r="D119">
        <v>70919</v>
      </c>
      <c r="E119">
        <v>25704</v>
      </c>
      <c r="F119">
        <v>19477</v>
      </c>
      <c r="G119">
        <v>306</v>
      </c>
      <c r="H119">
        <v>67912</v>
      </c>
      <c r="I119">
        <v>85831</v>
      </c>
      <c r="J119">
        <v>85831</v>
      </c>
    </row>
    <row r="120" spans="1:10" x14ac:dyDescent="0.3">
      <c r="A120" s="2" t="s">
        <v>25</v>
      </c>
      <c r="B120" t="s">
        <v>21</v>
      </c>
      <c r="C120">
        <v>2024</v>
      </c>
      <c r="D120">
        <v>67932</v>
      </c>
      <c r="E120">
        <v>25188</v>
      </c>
      <c r="F120">
        <v>20751</v>
      </c>
      <c r="G120">
        <v>303</v>
      </c>
      <c r="H120">
        <v>73259</v>
      </c>
      <c r="I120">
        <v>91754</v>
      </c>
      <c r="J120">
        <v>91754</v>
      </c>
    </row>
    <row r="121" spans="1:10" x14ac:dyDescent="0.3">
      <c r="A121" s="2" t="s">
        <v>25</v>
      </c>
      <c r="B121" t="s">
        <v>21</v>
      </c>
      <c r="C121">
        <v>2025</v>
      </c>
      <c r="D121">
        <v>75323</v>
      </c>
      <c r="E121">
        <v>25839</v>
      </c>
      <c r="F121">
        <v>35052</v>
      </c>
      <c r="G121">
        <v>285</v>
      </c>
      <c r="H121">
        <v>68779</v>
      </c>
      <c r="I121">
        <v>88003</v>
      </c>
      <c r="J121">
        <v>88003</v>
      </c>
    </row>
    <row r="122" spans="1:10" x14ac:dyDescent="0.3">
      <c r="A122" s="2" t="s">
        <v>26</v>
      </c>
      <c r="B122" t="s">
        <v>21</v>
      </c>
      <c r="C122">
        <v>2016</v>
      </c>
      <c r="D122">
        <v>9141</v>
      </c>
      <c r="E122">
        <v>1850</v>
      </c>
      <c r="F122">
        <v>1001</v>
      </c>
      <c r="G122">
        <v>33</v>
      </c>
      <c r="H122">
        <v>3186</v>
      </c>
      <c r="I122">
        <v>6810</v>
      </c>
      <c r="J122">
        <v>6810</v>
      </c>
    </row>
    <row r="123" spans="1:10" x14ac:dyDescent="0.3">
      <c r="A123" s="2" t="s">
        <v>26</v>
      </c>
      <c r="B123" t="s">
        <v>21</v>
      </c>
      <c r="C123">
        <v>2017</v>
      </c>
      <c r="D123">
        <v>10010</v>
      </c>
      <c r="E123">
        <v>2097</v>
      </c>
      <c r="F123">
        <v>1225</v>
      </c>
      <c r="G123">
        <v>35</v>
      </c>
      <c r="H123">
        <v>3324</v>
      </c>
      <c r="I123">
        <v>7363</v>
      </c>
      <c r="J123">
        <v>7363</v>
      </c>
    </row>
    <row r="124" spans="1:10" x14ac:dyDescent="0.3">
      <c r="A124" s="2" t="s">
        <v>26</v>
      </c>
      <c r="B124" t="s">
        <v>21</v>
      </c>
      <c r="C124">
        <v>2018</v>
      </c>
      <c r="D124">
        <v>11292</v>
      </c>
      <c r="E124">
        <v>2618</v>
      </c>
      <c r="F124">
        <v>1607</v>
      </c>
      <c r="G124">
        <v>35</v>
      </c>
      <c r="H124">
        <v>3577</v>
      </c>
      <c r="I124">
        <v>8088</v>
      </c>
      <c r="J124">
        <v>8088</v>
      </c>
    </row>
    <row r="125" spans="1:10" x14ac:dyDescent="0.3">
      <c r="A125" s="2" t="s">
        <v>26</v>
      </c>
      <c r="B125" t="s">
        <v>21</v>
      </c>
      <c r="C125">
        <v>2019</v>
      </c>
      <c r="D125">
        <v>12369</v>
      </c>
      <c r="E125">
        <v>2926</v>
      </c>
      <c r="F125">
        <v>1968</v>
      </c>
      <c r="G125">
        <v>189</v>
      </c>
      <c r="H125">
        <v>1822</v>
      </c>
      <c r="I125">
        <v>7173</v>
      </c>
      <c r="J125">
        <v>7173</v>
      </c>
    </row>
    <row r="126" spans="1:10" x14ac:dyDescent="0.3">
      <c r="A126" s="2" t="s">
        <v>26</v>
      </c>
      <c r="B126" t="s">
        <v>21</v>
      </c>
      <c r="C126">
        <v>2020</v>
      </c>
      <c r="D126">
        <v>13350</v>
      </c>
      <c r="E126">
        <v>3202</v>
      </c>
      <c r="F126">
        <v>2082</v>
      </c>
      <c r="G126">
        <v>147</v>
      </c>
      <c r="H126">
        <v>1923</v>
      </c>
      <c r="I126">
        <v>7900</v>
      </c>
      <c r="J126">
        <v>7900</v>
      </c>
    </row>
    <row r="127" spans="1:10" x14ac:dyDescent="0.3">
      <c r="A127" s="2" t="s">
        <v>26</v>
      </c>
      <c r="B127" t="s">
        <v>21</v>
      </c>
      <c r="C127">
        <v>2021</v>
      </c>
      <c r="D127">
        <v>14741</v>
      </c>
      <c r="E127">
        <v>3562</v>
      </c>
      <c r="F127">
        <v>2118</v>
      </c>
      <c r="G127">
        <v>266</v>
      </c>
      <c r="H127">
        <v>1850</v>
      </c>
      <c r="I127">
        <v>8234</v>
      </c>
      <c r="J127">
        <v>8234</v>
      </c>
    </row>
    <row r="128" spans="1:10" x14ac:dyDescent="0.3">
      <c r="A128" s="2" t="s">
        <v>26</v>
      </c>
      <c r="B128" t="s">
        <v>21</v>
      </c>
      <c r="C128">
        <v>2022</v>
      </c>
      <c r="D128">
        <v>16897</v>
      </c>
      <c r="E128">
        <v>3706</v>
      </c>
      <c r="F128">
        <v>2391</v>
      </c>
      <c r="G128">
        <v>271</v>
      </c>
      <c r="H128">
        <v>2363</v>
      </c>
      <c r="I128">
        <v>8979</v>
      </c>
      <c r="J128">
        <v>8979</v>
      </c>
    </row>
    <row r="129" spans="1:10" x14ac:dyDescent="0.3">
      <c r="A129" s="2" t="s">
        <v>26</v>
      </c>
      <c r="B129" t="s">
        <v>21</v>
      </c>
      <c r="C129">
        <v>2023</v>
      </c>
      <c r="D129">
        <v>19126</v>
      </c>
      <c r="E129">
        <v>4471</v>
      </c>
      <c r="F129">
        <v>2999</v>
      </c>
      <c r="G129">
        <v>271</v>
      </c>
      <c r="H129">
        <v>2363</v>
      </c>
      <c r="I129">
        <v>8979</v>
      </c>
      <c r="J129">
        <v>8979</v>
      </c>
    </row>
    <row r="130" spans="1:10" x14ac:dyDescent="0.3">
      <c r="A130" s="2" t="s">
        <v>26</v>
      </c>
      <c r="B130" t="s">
        <v>21</v>
      </c>
      <c r="C130">
        <v>2024</v>
      </c>
      <c r="D130">
        <v>24394</v>
      </c>
      <c r="E130">
        <v>5843</v>
      </c>
      <c r="F130">
        <v>3933</v>
      </c>
      <c r="G130">
        <v>345</v>
      </c>
      <c r="H130">
        <v>3244</v>
      </c>
      <c r="I130">
        <v>10523</v>
      </c>
      <c r="J130">
        <v>10523</v>
      </c>
    </row>
    <row r="131" spans="1:10" x14ac:dyDescent="0.3">
      <c r="A131" s="2" t="s">
        <v>26</v>
      </c>
      <c r="B131" t="s">
        <v>21</v>
      </c>
      <c r="C131">
        <v>2025</v>
      </c>
      <c r="D131">
        <v>20202</v>
      </c>
      <c r="E131">
        <v>4771</v>
      </c>
      <c r="F131">
        <v>3314</v>
      </c>
      <c r="G131">
        <v>1167</v>
      </c>
      <c r="H131">
        <v>4021</v>
      </c>
      <c r="I131">
        <v>12324</v>
      </c>
      <c r="J131">
        <v>12324</v>
      </c>
    </row>
    <row r="132" spans="1:10" x14ac:dyDescent="0.3">
      <c r="A132" s="2" t="s">
        <v>23</v>
      </c>
      <c r="B132" t="s">
        <v>21</v>
      </c>
      <c r="C132">
        <v>2016</v>
      </c>
      <c r="D132">
        <v>7780</v>
      </c>
      <c r="E132">
        <v>1518</v>
      </c>
      <c r="F132">
        <v>1254</v>
      </c>
      <c r="G132">
        <v>805</v>
      </c>
      <c r="H132">
        <v>3995</v>
      </c>
      <c r="I132">
        <v>6932</v>
      </c>
      <c r="J132">
        <v>6932</v>
      </c>
    </row>
    <row r="133" spans="1:10" x14ac:dyDescent="0.3">
      <c r="A133" s="2" t="s">
        <v>23</v>
      </c>
      <c r="B133" t="s">
        <v>21</v>
      </c>
      <c r="C133">
        <v>2017</v>
      </c>
      <c r="D133">
        <v>7614</v>
      </c>
      <c r="E133">
        <v>1512</v>
      </c>
      <c r="F133">
        <v>1280</v>
      </c>
      <c r="G133">
        <v>975</v>
      </c>
      <c r="H133">
        <v>4671</v>
      </c>
      <c r="I133">
        <v>7732</v>
      </c>
      <c r="J133">
        <v>7732</v>
      </c>
    </row>
    <row r="134" spans="1:10" x14ac:dyDescent="0.3">
      <c r="A134" s="2" t="s">
        <v>23</v>
      </c>
      <c r="B134" t="s">
        <v>21</v>
      </c>
      <c r="C134">
        <v>2018</v>
      </c>
      <c r="D134">
        <v>7722</v>
      </c>
      <c r="E134">
        <v>1617</v>
      </c>
      <c r="F134">
        <v>1358</v>
      </c>
      <c r="G134">
        <v>938</v>
      </c>
      <c r="H134">
        <v>5530</v>
      </c>
      <c r="I134">
        <v>8702</v>
      </c>
      <c r="J134">
        <v>8702</v>
      </c>
    </row>
    <row r="135" spans="1:10" x14ac:dyDescent="0.3">
      <c r="A135" s="2" t="s">
        <v>23</v>
      </c>
      <c r="B135" t="s">
        <v>21</v>
      </c>
      <c r="C135">
        <v>2019</v>
      </c>
      <c r="D135">
        <v>8515</v>
      </c>
      <c r="E135">
        <v>1740</v>
      </c>
      <c r="F135">
        <v>1446</v>
      </c>
      <c r="G135">
        <v>699</v>
      </c>
      <c r="H135">
        <v>5455</v>
      </c>
      <c r="I135">
        <v>8437</v>
      </c>
      <c r="J135">
        <v>8437</v>
      </c>
    </row>
    <row r="136" spans="1:10" x14ac:dyDescent="0.3">
      <c r="A136" s="2" t="s">
        <v>23</v>
      </c>
      <c r="B136" t="s">
        <v>21</v>
      </c>
      <c r="C136">
        <v>2020</v>
      </c>
      <c r="D136">
        <v>8685</v>
      </c>
      <c r="E136">
        <v>1792</v>
      </c>
      <c r="F136">
        <v>1448</v>
      </c>
      <c r="G136">
        <v>522</v>
      </c>
      <c r="H136">
        <v>6429</v>
      </c>
      <c r="I136">
        <v>9337</v>
      </c>
      <c r="J136">
        <v>9337</v>
      </c>
    </row>
    <row r="137" spans="1:10" x14ac:dyDescent="0.3">
      <c r="A137" s="2" t="s">
        <v>23</v>
      </c>
      <c r="B137" t="s">
        <v>21</v>
      </c>
      <c r="C137">
        <v>2021</v>
      </c>
      <c r="D137">
        <v>9562</v>
      </c>
      <c r="E137">
        <v>2002</v>
      </c>
      <c r="F137">
        <v>1695</v>
      </c>
      <c r="G137">
        <v>509</v>
      </c>
      <c r="H137">
        <v>7487</v>
      </c>
      <c r="I137">
        <v>10833</v>
      </c>
      <c r="J137">
        <v>10833</v>
      </c>
    </row>
    <row r="138" spans="1:10" x14ac:dyDescent="0.3">
      <c r="A138" s="2" t="s">
        <v>23</v>
      </c>
      <c r="B138" t="s">
        <v>21</v>
      </c>
      <c r="C138">
        <v>2022</v>
      </c>
      <c r="D138">
        <v>10889</v>
      </c>
      <c r="E138">
        <v>2252</v>
      </c>
      <c r="F138">
        <v>1742</v>
      </c>
      <c r="G138">
        <v>1030</v>
      </c>
      <c r="H138">
        <v>8205</v>
      </c>
      <c r="I138">
        <v>12284</v>
      </c>
      <c r="J138">
        <v>12284</v>
      </c>
    </row>
    <row r="139" spans="1:10" x14ac:dyDescent="0.3">
      <c r="A139" s="2" t="s">
        <v>23</v>
      </c>
      <c r="B139" t="s">
        <v>21</v>
      </c>
      <c r="C139">
        <v>2023</v>
      </c>
      <c r="D139">
        <v>11530</v>
      </c>
      <c r="E139">
        <v>2162</v>
      </c>
      <c r="F139">
        <v>1701</v>
      </c>
      <c r="G139">
        <v>1174</v>
      </c>
      <c r="H139">
        <v>8796</v>
      </c>
      <c r="I139">
        <v>13652</v>
      </c>
      <c r="J139">
        <v>13652</v>
      </c>
    </row>
    <row r="140" spans="1:10" x14ac:dyDescent="0.3">
      <c r="A140" s="2" t="s">
        <v>23</v>
      </c>
      <c r="B140" t="s">
        <v>21</v>
      </c>
      <c r="C140">
        <v>2024</v>
      </c>
      <c r="D140">
        <v>12404</v>
      </c>
      <c r="E140">
        <v>2400</v>
      </c>
      <c r="F140">
        <v>1811</v>
      </c>
      <c r="G140">
        <v>1365</v>
      </c>
      <c r="H140">
        <v>9689</v>
      </c>
      <c r="I140">
        <v>15116</v>
      </c>
      <c r="J140">
        <v>15116</v>
      </c>
    </row>
    <row r="141" spans="1:10" x14ac:dyDescent="0.3">
      <c r="A141" s="2" t="s">
        <v>23</v>
      </c>
      <c r="B141" t="s">
        <v>21</v>
      </c>
      <c r="C141">
        <v>2025</v>
      </c>
      <c r="D141">
        <v>12563</v>
      </c>
      <c r="E141">
        <v>2316</v>
      </c>
      <c r="F141">
        <v>1740</v>
      </c>
      <c r="G141">
        <v>950</v>
      </c>
      <c r="H141">
        <v>10623</v>
      </c>
      <c r="I141">
        <v>16230</v>
      </c>
      <c r="J141">
        <v>16230</v>
      </c>
    </row>
    <row r="142" spans="1:10" x14ac:dyDescent="0.3">
      <c r="A142" s="2" t="s">
        <v>22</v>
      </c>
      <c r="B142" t="s">
        <v>21</v>
      </c>
      <c r="C142">
        <v>2016</v>
      </c>
      <c r="D142">
        <v>8397</v>
      </c>
      <c r="E142">
        <v>1224</v>
      </c>
      <c r="F142">
        <v>825</v>
      </c>
      <c r="G142">
        <v>131</v>
      </c>
      <c r="H142">
        <v>2068</v>
      </c>
      <c r="I142">
        <v>3494</v>
      </c>
      <c r="J142">
        <v>3494</v>
      </c>
    </row>
    <row r="143" spans="1:10" x14ac:dyDescent="0.3">
      <c r="A143" s="2" t="s">
        <v>22</v>
      </c>
      <c r="B143" t="s">
        <v>21</v>
      </c>
      <c r="C143">
        <v>2017</v>
      </c>
      <c r="D143">
        <v>9054</v>
      </c>
      <c r="E143">
        <v>1278</v>
      </c>
      <c r="F143">
        <v>885</v>
      </c>
      <c r="G143">
        <v>125</v>
      </c>
      <c r="H143">
        <v>2672</v>
      </c>
      <c r="I143">
        <v>4109</v>
      </c>
      <c r="J143">
        <v>4109</v>
      </c>
    </row>
    <row r="144" spans="1:10" x14ac:dyDescent="0.3">
      <c r="A144" s="2" t="s">
        <v>22</v>
      </c>
      <c r="B144" t="s">
        <v>21</v>
      </c>
      <c r="C144">
        <v>2018</v>
      </c>
      <c r="D144">
        <v>9914</v>
      </c>
      <c r="E144">
        <v>1501</v>
      </c>
      <c r="F144">
        <v>1004</v>
      </c>
      <c r="G144">
        <v>201</v>
      </c>
      <c r="H144">
        <v>3382</v>
      </c>
      <c r="I144">
        <v>5188</v>
      </c>
      <c r="J144">
        <v>5188</v>
      </c>
    </row>
    <row r="145" spans="1:10" x14ac:dyDescent="0.3">
      <c r="A145" s="2" t="s">
        <v>22</v>
      </c>
      <c r="B145" t="s">
        <v>21</v>
      </c>
      <c r="C145">
        <v>2019</v>
      </c>
      <c r="D145">
        <v>11055</v>
      </c>
      <c r="E145">
        <v>1732</v>
      </c>
      <c r="F145">
        <v>1155</v>
      </c>
      <c r="G145">
        <v>156</v>
      </c>
      <c r="H145">
        <v>4229</v>
      </c>
      <c r="I145">
        <v>6238</v>
      </c>
      <c r="J145">
        <v>6238</v>
      </c>
    </row>
    <row r="146" spans="1:10" x14ac:dyDescent="0.3">
      <c r="A146" s="2" t="s">
        <v>22</v>
      </c>
      <c r="B146" t="s">
        <v>21</v>
      </c>
      <c r="C146">
        <v>2020</v>
      </c>
      <c r="D146">
        <v>11600</v>
      </c>
      <c r="E146">
        <v>1843</v>
      </c>
      <c r="F146">
        <v>1394</v>
      </c>
      <c r="G146">
        <v>1538</v>
      </c>
      <c r="H146">
        <v>4379</v>
      </c>
      <c r="I146">
        <v>7830</v>
      </c>
      <c r="J146">
        <v>7830</v>
      </c>
    </row>
    <row r="147" spans="1:10" x14ac:dyDescent="0.3">
      <c r="A147" s="2" t="s">
        <v>22</v>
      </c>
      <c r="B147" t="s">
        <v>21</v>
      </c>
      <c r="C147">
        <v>2021</v>
      </c>
      <c r="D147">
        <v>13136</v>
      </c>
      <c r="E147">
        <v>2509</v>
      </c>
      <c r="F147">
        <v>1851</v>
      </c>
      <c r="G147">
        <v>2122</v>
      </c>
      <c r="H147">
        <v>3524</v>
      </c>
      <c r="I147">
        <v>8000</v>
      </c>
      <c r="J147">
        <v>8000</v>
      </c>
    </row>
    <row r="148" spans="1:10" x14ac:dyDescent="0.3">
      <c r="A148" s="2" t="s">
        <v>22</v>
      </c>
      <c r="B148" t="s">
        <v>21</v>
      </c>
      <c r="C148">
        <v>2022</v>
      </c>
      <c r="D148">
        <v>14136</v>
      </c>
      <c r="E148">
        <v>2201</v>
      </c>
      <c r="F148">
        <v>1516</v>
      </c>
      <c r="G148">
        <v>2481</v>
      </c>
      <c r="H148">
        <v>2534</v>
      </c>
      <c r="I148">
        <v>7527</v>
      </c>
      <c r="J148">
        <v>7527</v>
      </c>
    </row>
    <row r="149" spans="1:10" x14ac:dyDescent="0.3">
      <c r="A149" s="2" t="s">
        <v>22</v>
      </c>
      <c r="B149" t="s">
        <v>21</v>
      </c>
      <c r="C149">
        <v>2023</v>
      </c>
      <c r="D149">
        <v>16301</v>
      </c>
      <c r="E149">
        <v>2831</v>
      </c>
      <c r="F149">
        <v>2316</v>
      </c>
      <c r="G149">
        <v>2997</v>
      </c>
      <c r="H149">
        <v>3510</v>
      </c>
      <c r="I149">
        <v>9351</v>
      </c>
      <c r="J149">
        <v>9351</v>
      </c>
    </row>
    <row r="150" spans="1:10" x14ac:dyDescent="0.3">
      <c r="A150" s="2" t="s">
        <v>22</v>
      </c>
      <c r="B150" t="s">
        <v>21</v>
      </c>
      <c r="C150">
        <v>2024</v>
      </c>
      <c r="D150">
        <v>16769</v>
      </c>
      <c r="E150">
        <v>3167</v>
      </c>
      <c r="F150">
        <v>2134</v>
      </c>
      <c r="G150">
        <v>2065</v>
      </c>
      <c r="H150">
        <v>3917</v>
      </c>
      <c r="I150">
        <v>9072</v>
      </c>
      <c r="J150">
        <v>9072</v>
      </c>
    </row>
    <row r="151" spans="1:10" x14ac:dyDescent="0.3">
      <c r="A151" s="2" t="s">
        <v>22</v>
      </c>
      <c r="B151" t="s">
        <v>21</v>
      </c>
      <c r="C151">
        <v>2025</v>
      </c>
      <c r="D151">
        <v>17943</v>
      </c>
      <c r="E151">
        <v>3176</v>
      </c>
      <c r="F151">
        <v>2178</v>
      </c>
      <c r="G151">
        <v>1247</v>
      </c>
      <c r="H151">
        <v>4332</v>
      </c>
      <c r="I151">
        <v>8837</v>
      </c>
      <c r="J151">
        <v>8837</v>
      </c>
    </row>
    <row r="152" spans="1:10" x14ac:dyDescent="0.3">
      <c r="A152" s="2" t="s">
        <v>33</v>
      </c>
      <c r="B152" t="s">
        <v>28</v>
      </c>
      <c r="C152">
        <v>2016</v>
      </c>
      <c r="D152">
        <v>101122</v>
      </c>
      <c r="E152">
        <v>15486</v>
      </c>
      <c r="F152">
        <v>4592</v>
      </c>
      <c r="G152">
        <v>88135</v>
      </c>
      <c r="H152">
        <v>43994</v>
      </c>
      <c r="I152">
        <v>194091</v>
      </c>
      <c r="J152">
        <v>194091</v>
      </c>
    </row>
    <row r="153" spans="1:10" x14ac:dyDescent="0.3">
      <c r="A153" s="2" t="s">
        <v>33</v>
      </c>
      <c r="B153" t="s">
        <v>28</v>
      </c>
      <c r="C153">
        <v>2017</v>
      </c>
      <c r="D153">
        <v>109312</v>
      </c>
      <c r="E153">
        <v>16620</v>
      </c>
      <c r="F153">
        <v>6486</v>
      </c>
      <c r="G153">
        <v>93954</v>
      </c>
      <c r="H153">
        <v>50030</v>
      </c>
      <c r="I153">
        <v>211571</v>
      </c>
      <c r="J153">
        <v>211571</v>
      </c>
    </row>
    <row r="154" spans="1:10" x14ac:dyDescent="0.3">
      <c r="A154" s="2" t="s">
        <v>33</v>
      </c>
      <c r="B154" t="s">
        <v>28</v>
      </c>
      <c r="C154">
        <v>2018</v>
      </c>
      <c r="D154">
        <v>119683</v>
      </c>
      <c r="E154">
        <v>20111</v>
      </c>
      <c r="F154">
        <v>8004</v>
      </c>
      <c r="G154">
        <v>107524</v>
      </c>
      <c r="H154">
        <v>54623</v>
      </c>
      <c r="I154">
        <v>243240</v>
      </c>
      <c r="J154">
        <v>243240</v>
      </c>
    </row>
    <row r="155" spans="1:10" x14ac:dyDescent="0.3">
      <c r="A155" s="2" t="s">
        <v>33</v>
      </c>
      <c r="B155" t="s">
        <v>28</v>
      </c>
      <c r="C155">
        <v>2019</v>
      </c>
      <c r="D155">
        <v>135220</v>
      </c>
      <c r="E155">
        <v>22866</v>
      </c>
      <c r="F155">
        <v>10217</v>
      </c>
      <c r="G155">
        <v>125555</v>
      </c>
      <c r="H155">
        <v>62094</v>
      </c>
      <c r="I155">
        <v>278036</v>
      </c>
      <c r="J155">
        <v>278036</v>
      </c>
    </row>
    <row r="156" spans="1:10" x14ac:dyDescent="0.3">
      <c r="A156" s="2" t="s">
        <v>33</v>
      </c>
      <c r="B156" t="s">
        <v>28</v>
      </c>
      <c r="C156">
        <v>2020</v>
      </c>
      <c r="D156">
        <v>145452</v>
      </c>
      <c r="E156">
        <v>24553</v>
      </c>
      <c r="F156">
        <v>10894</v>
      </c>
      <c r="G156">
        <v>143174</v>
      </c>
      <c r="H156">
        <v>66442</v>
      </c>
      <c r="I156">
        <v>306687</v>
      </c>
      <c r="J156">
        <v>306687</v>
      </c>
    </row>
    <row r="157" spans="1:10" x14ac:dyDescent="0.3">
      <c r="A157" s="2" t="s">
        <v>33</v>
      </c>
      <c r="B157" t="s">
        <v>28</v>
      </c>
      <c r="C157">
        <v>2021</v>
      </c>
      <c r="D157">
        <v>135979</v>
      </c>
      <c r="E157">
        <v>23460</v>
      </c>
      <c r="F157">
        <v>12921</v>
      </c>
      <c r="G157">
        <v>134629</v>
      </c>
      <c r="H157">
        <v>75588</v>
      </c>
      <c r="I157">
        <v>310095</v>
      </c>
      <c r="J157">
        <v>310095</v>
      </c>
    </row>
    <row r="158" spans="1:10" x14ac:dyDescent="0.3">
      <c r="A158" s="2" t="s">
        <v>33</v>
      </c>
      <c r="B158" t="s">
        <v>28</v>
      </c>
      <c r="C158">
        <v>2022</v>
      </c>
      <c r="D158">
        <v>156521</v>
      </c>
      <c r="E158">
        <v>24314</v>
      </c>
      <c r="F158">
        <v>10419</v>
      </c>
      <c r="G158">
        <v>125508</v>
      </c>
      <c r="H158">
        <v>82127</v>
      </c>
      <c r="I158">
        <v>319028</v>
      </c>
      <c r="J158">
        <v>319028</v>
      </c>
    </row>
    <row r="159" spans="1:10" x14ac:dyDescent="0.3">
      <c r="A159" s="2" t="s">
        <v>33</v>
      </c>
      <c r="B159" t="s">
        <v>28</v>
      </c>
      <c r="C159">
        <v>2023</v>
      </c>
      <c r="D159">
        <v>183341</v>
      </c>
      <c r="E159">
        <v>27166</v>
      </c>
      <c r="F159">
        <v>12531</v>
      </c>
      <c r="G159">
        <v>120650</v>
      </c>
      <c r="H159">
        <v>89045</v>
      </c>
      <c r="I159">
        <v>329722</v>
      </c>
      <c r="J159">
        <v>329722</v>
      </c>
    </row>
    <row r="160" spans="1:10" x14ac:dyDescent="0.3">
      <c r="A160" s="2" t="s">
        <v>33</v>
      </c>
      <c r="B160" t="s">
        <v>28</v>
      </c>
      <c r="C160">
        <v>2024</v>
      </c>
      <c r="D160">
        <v>221113</v>
      </c>
      <c r="E160">
        <v>28758</v>
      </c>
      <c r="F160">
        <v>15547</v>
      </c>
      <c r="G160">
        <v>116322</v>
      </c>
      <c r="H160">
        <v>86084</v>
      </c>
      <c r="I160">
        <v>339602</v>
      </c>
      <c r="J160">
        <v>339602</v>
      </c>
    </row>
    <row r="161" spans="1:10" x14ac:dyDescent="0.3">
      <c r="A161" s="2" t="s">
        <v>33</v>
      </c>
      <c r="B161" t="s">
        <v>28</v>
      </c>
      <c r="C161">
        <v>2025</v>
      </c>
      <c r="D161">
        <v>255734</v>
      </c>
      <c r="E161">
        <v>34335</v>
      </c>
      <c r="F161">
        <v>17673</v>
      </c>
      <c r="G161">
        <v>132409</v>
      </c>
      <c r="H161">
        <v>97381</v>
      </c>
      <c r="I161">
        <v>379114</v>
      </c>
      <c r="J161">
        <v>379114</v>
      </c>
    </row>
    <row r="162" spans="1:10" x14ac:dyDescent="0.3">
      <c r="A162" s="2" t="s">
        <v>29</v>
      </c>
      <c r="B162" t="s">
        <v>28</v>
      </c>
      <c r="C162">
        <v>2016</v>
      </c>
      <c r="D162">
        <v>7109</v>
      </c>
      <c r="E162">
        <v>4577</v>
      </c>
      <c r="F162">
        <v>2856</v>
      </c>
      <c r="G162">
        <v>22342</v>
      </c>
      <c r="H162">
        <v>13091</v>
      </c>
      <c r="I162">
        <v>38385</v>
      </c>
      <c r="J162">
        <v>38385</v>
      </c>
    </row>
    <row r="163" spans="1:10" x14ac:dyDescent="0.3">
      <c r="A163" s="2" t="s">
        <v>29</v>
      </c>
      <c r="B163" t="s">
        <v>28</v>
      </c>
      <c r="C163">
        <v>2017</v>
      </c>
      <c r="D163">
        <v>8439</v>
      </c>
      <c r="E163">
        <v>5418</v>
      </c>
      <c r="F163">
        <v>3902</v>
      </c>
      <c r="G163">
        <v>22214</v>
      </c>
      <c r="H163">
        <v>17112</v>
      </c>
      <c r="I163">
        <v>43369</v>
      </c>
      <c r="J163">
        <v>43369</v>
      </c>
    </row>
    <row r="164" spans="1:10" x14ac:dyDescent="0.3">
      <c r="A164" s="2" t="s">
        <v>29</v>
      </c>
      <c r="B164" t="s">
        <v>28</v>
      </c>
      <c r="C164">
        <v>2018</v>
      </c>
      <c r="D164">
        <v>11323</v>
      </c>
      <c r="E164">
        <v>7157</v>
      </c>
      <c r="F164">
        <v>3690</v>
      </c>
      <c r="G164">
        <v>22370</v>
      </c>
      <c r="H164">
        <v>20489</v>
      </c>
      <c r="I164">
        <v>47233</v>
      </c>
      <c r="J164">
        <v>47233</v>
      </c>
    </row>
    <row r="165" spans="1:10" x14ac:dyDescent="0.3">
      <c r="A165" s="2" t="s">
        <v>29</v>
      </c>
      <c r="B165" t="s">
        <v>28</v>
      </c>
      <c r="C165">
        <v>2019</v>
      </c>
      <c r="D165">
        <v>10925</v>
      </c>
      <c r="E165">
        <v>6596</v>
      </c>
      <c r="F165">
        <v>4045</v>
      </c>
      <c r="G165">
        <v>27712</v>
      </c>
      <c r="H165">
        <v>23958</v>
      </c>
      <c r="I165">
        <v>56311</v>
      </c>
      <c r="J165">
        <v>56311</v>
      </c>
    </row>
    <row r="166" spans="1:10" x14ac:dyDescent="0.3">
      <c r="A166" s="2" t="s">
        <v>29</v>
      </c>
      <c r="B166" t="s">
        <v>28</v>
      </c>
      <c r="C166">
        <v>2020</v>
      </c>
      <c r="D166">
        <v>11873</v>
      </c>
      <c r="E166">
        <v>5947</v>
      </c>
      <c r="F166">
        <v>3785</v>
      </c>
      <c r="G166">
        <v>30242</v>
      </c>
      <c r="H166">
        <v>25051</v>
      </c>
      <c r="I166">
        <v>61917</v>
      </c>
      <c r="J166">
        <v>61917</v>
      </c>
    </row>
    <row r="167" spans="1:10" x14ac:dyDescent="0.3">
      <c r="A167" s="2" t="s">
        <v>29</v>
      </c>
      <c r="B167" t="s">
        <v>28</v>
      </c>
      <c r="C167">
        <v>2021</v>
      </c>
      <c r="D167">
        <v>12550</v>
      </c>
      <c r="E167">
        <v>8688</v>
      </c>
      <c r="F167">
        <v>5049</v>
      </c>
      <c r="G167">
        <v>35855</v>
      </c>
      <c r="H167">
        <v>30035</v>
      </c>
      <c r="I167">
        <v>74582</v>
      </c>
      <c r="J167">
        <v>74582</v>
      </c>
    </row>
    <row r="168" spans="1:10" x14ac:dyDescent="0.3">
      <c r="A168" s="2" t="s">
        <v>29</v>
      </c>
      <c r="B168" t="s">
        <v>28</v>
      </c>
      <c r="C168">
        <v>2022</v>
      </c>
      <c r="D168">
        <v>17119</v>
      </c>
      <c r="E168">
        <v>9528</v>
      </c>
      <c r="F168">
        <v>4953</v>
      </c>
      <c r="G168">
        <v>47935</v>
      </c>
      <c r="H168">
        <v>41399</v>
      </c>
      <c r="I168">
        <v>98328</v>
      </c>
      <c r="J168">
        <v>98328</v>
      </c>
    </row>
    <row r="169" spans="1:10" x14ac:dyDescent="0.3">
      <c r="A169" s="2" t="s">
        <v>29</v>
      </c>
      <c r="B169" t="s">
        <v>28</v>
      </c>
      <c r="C169">
        <v>2023</v>
      </c>
      <c r="D169">
        <v>20852</v>
      </c>
      <c r="E169">
        <v>10947</v>
      </c>
      <c r="F169">
        <v>5391</v>
      </c>
      <c r="G169">
        <v>53434</v>
      </c>
      <c r="H169">
        <v>44957</v>
      </c>
      <c r="I169">
        <v>112563</v>
      </c>
      <c r="J169">
        <v>112563</v>
      </c>
    </row>
    <row r="170" spans="1:10" x14ac:dyDescent="0.3">
      <c r="A170" s="2" t="s">
        <v>29</v>
      </c>
      <c r="B170" t="s">
        <v>28</v>
      </c>
      <c r="C170">
        <v>2024</v>
      </c>
      <c r="D170">
        <v>26711</v>
      </c>
      <c r="E170">
        <v>15589</v>
      </c>
      <c r="F170">
        <v>8104</v>
      </c>
      <c r="G170">
        <v>49470</v>
      </c>
      <c r="H170">
        <v>52346</v>
      </c>
      <c r="I170">
        <v>116999</v>
      </c>
      <c r="J170">
        <v>116999</v>
      </c>
    </row>
    <row r="171" spans="1:10" x14ac:dyDescent="0.3">
      <c r="A171" s="2" t="s">
        <v>29</v>
      </c>
      <c r="B171" t="s">
        <v>28</v>
      </c>
      <c r="C171">
        <v>2025</v>
      </c>
      <c r="D171">
        <v>30475</v>
      </c>
      <c r="E171">
        <v>18141</v>
      </c>
      <c r="F171">
        <v>11061</v>
      </c>
      <c r="G171">
        <v>51621</v>
      </c>
      <c r="H171">
        <v>61837</v>
      </c>
      <c r="I171">
        <v>133443</v>
      </c>
      <c r="J171">
        <v>133443</v>
      </c>
    </row>
    <row r="172" spans="1:10" x14ac:dyDescent="0.3">
      <c r="A172" s="2" t="s">
        <v>32</v>
      </c>
      <c r="B172" t="s">
        <v>28</v>
      </c>
      <c r="C172">
        <v>2017</v>
      </c>
      <c r="D172">
        <v>888</v>
      </c>
      <c r="E172">
        <v>511</v>
      </c>
      <c r="F172">
        <v>310</v>
      </c>
      <c r="G172">
        <v>1599</v>
      </c>
      <c r="H172">
        <v>1798</v>
      </c>
      <c r="I172">
        <v>4082</v>
      </c>
      <c r="J172">
        <v>4082</v>
      </c>
    </row>
    <row r="173" spans="1:10" x14ac:dyDescent="0.3">
      <c r="A173" s="2" t="s">
        <v>32</v>
      </c>
      <c r="B173" t="s">
        <v>28</v>
      </c>
      <c r="C173">
        <v>2018</v>
      </c>
      <c r="D173">
        <v>998</v>
      </c>
      <c r="E173">
        <v>588</v>
      </c>
      <c r="F173">
        <v>281</v>
      </c>
      <c r="G173">
        <v>1732</v>
      </c>
      <c r="H173">
        <v>2553</v>
      </c>
      <c r="I173">
        <v>5185</v>
      </c>
      <c r="J173">
        <v>5185</v>
      </c>
    </row>
    <row r="174" spans="1:10" x14ac:dyDescent="0.3">
      <c r="A174" s="2" t="s">
        <v>32</v>
      </c>
      <c r="B174" t="s">
        <v>28</v>
      </c>
      <c r="C174">
        <v>2019</v>
      </c>
      <c r="D174">
        <v>1080</v>
      </c>
      <c r="E174">
        <v>530</v>
      </c>
      <c r="F174">
        <v>272</v>
      </c>
      <c r="G174">
        <v>2051</v>
      </c>
      <c r="H174">
        <v>2827</v>
      </c>
      <c r="I174">
        <v>5701</v>
      </c>
      <c r="J174">
        <v>5701</v>
      </c>
    </row>
    <row r="175" spans="1:10" x14ac:dyDescent="0.3">
      <c r="A175" s="2" t="s">
        <v>32</v>
      </c>
      <c r="B175" t="s">
        <v>28</v>
      </c>
      <c r="C175">
        <v>2020</v>
      </c>
      <c r="D175">
        <v>1143</v>
      </c>
      <c r="E175">
        <v>619</v>
      </c>
      <c r="F175">
        <v>197</v>
      </c>
      <c r="G175">
        <v>3103</v>
      </c>
      <c r="H175">
        <v>2488</v>
      </c>
      <c r="I175">
        <v>6736</v>
      </c>
      <c r="J175">
        <v>6736</v>
      </c>
    </row>
    <row r="176" spans="1:10" x14ac:dyDescent="0.3">
      <c r="A176" s="2" t="s">
        <v>32</v>
      </c>
      <c r="B176" t="s">
        <v>28</v>
      </c>
      <c r="C176">
        <v>2021</v>
      </c>
      <c r="D176">
        <v>1604</v>
      </c>
      <c r="E176">
        <v>816</v>
      </c>
      <c r="F176">
        <v>285</v>
      </c>
      <c r="G176">
        <v>3946</v>
      </c>
      <c r="H176">
        <v>2831</v>
      </c>
      <c r="I176">
        <v>8123</v>
      </c>
      <c r="J176">
        <v>8123</v>
      </c>
    </row>
    <row r="177" spans="1:10" x14ac:dyDescent="0.3">
      <c r="A177" s="2" t="s">
        <v>32</v>
      </c>
      <c r="B177" t="s">
        <v>28</v>
      </c>
      <c r="C177">
        <v>2022</v>
      </c>
      <c r="D177">
        <v>2273</v>
      </c>
      <c r="E177">
        <v>1109</v>
      </c>
      <c r="F177">
        <v>330</v>
      </c>
      <c r="G177">
        <v>4740</v>
      </c>
      <c r="H177">
        <v>3212</v>
      </c>
      <c r="I177">
        <v>9177</v>
      </c>
      <c r="J177">
        <v>9177</v>
      </c>
    </row>
    <row r="178" spans="1:10" x14ac:dyDescent="0.3">
      <c r="A178" s="2" t="s">
        <v>32</v>
      </c>
      <c r="B178" t="s">
        <v>28</v>
      </c>
      <c r="C178">
        <v>2023</v>
      </c>
      <c r="D178">
        <v>3195</v>
      </c>
      <c r="E178">
        <v>1623</v>
      </c>
      <c r="F178">
        <v>750</v>
      </c>
      <c r="G178">
        <v>4568</v>
      </c>
      <c r="H178">
        <v>3635</v>
      </c>
      <c r="I178">
        <v>9312</v>
      </c>
      <c r="J178">
        <v>9312</v>
      </c>
    </row>
    <row r="179" spans="1:10" x14ac:dyDescent="0.3">
      <c r="A179" s="2" t="s">
        <v>32</v>
      </c>
      <c r="B179" t="s">
        <v>28</v>
      </c>
      <c r="C179">
        <v>2024</v>
      </c>
      <c r="D179">
        <v>3763</v>
      </c>
      <c r="E179">
        <v>1968</v>
      </c>
      <c r="F179">
        <v>1161</v>
      </c>
      <c r="G179">
        <v>4758</v>
      </c>
      <c r="H179">
        <v>7616</v>
      </c>
      <c r="I179">
        <v>13694</v>
      </c>
      <c r="J179">
        <v>13694</v>
      </c>
    </row>
    <row r="180" spans="1:10" x14ac:dyDescent="0.3">
      <c r="A180" s="2" t="s">
        <v>32</v>
      </c>
      <c r="B180" t="s">
        <v>28</v>
      </c>
      <c r="C180">
        <v>2025</v>
      </c>
      <c r="D180">
        <v>4476</v>
      </c>
      <c r="E180">
        <v>2262</v>
      </c>
      <c r="F180">
        <v>1521</v>
      </c>
      <c r="G180">
        <v>5042</v>
      </c>
      <c r="H180">
        <v>9282</v>
      </c>
      <c r="I180">
        <v>16807</v>
      </c>
      <c r="J180">
        <v>16807</v>
      </c>
    </row>
    <row r="181" spans="1:10" x14ac:dyDescent="0.3">
      <c r="A181" s="2" t="s">
        <v>31</v>
      </c>
      <c r="B181" t="s">
        <v>28</v>
      </c>
      <c r="C181">
        <v>2016</v>
      </c>
      <c r="D181">
        <v>5128</v>
      </c>
      <c r="E181">
        <v>2667</v>
      </c>
      <c r="F181">
        <v>640</v>
      </c>
      <c r="G181">
        <v>15626</v>
      </c>
      <c r="H181">
        <v>4485</v>
      </c>
      <c r="I181">
        <v>42162</v>
      </c>
      <c r="J181">
        <v>42162</v>
      </c>
    </row>
    <row r="182" spans="1:10" x14ac:dyDescent="0.3">
      <c r="A182" s="2" t="s">
        <v>31</v>
      </c>
      <c r="B182" t="s">
        <v>28</v>
      </c>
      <c r="C182">
        <v>2017</v>
      </c>
      <c r="D182">
        <v>5846</v>
      </c>
      <c r="E182">
        <v>3057</v>
      </c>
      <c r="F182">
        <v>715</v>
      </c>
      <c r="G182">
        <v>13963</v>
      </c>
      <c r="H182">
        <v>4920</v>
      </c>
      <c r="I182">
        <v>46641</v>
      </c>
      <c r="J182">
        <v>46641</v>
      </c>
    </row>
    <row r="183" spans="1:10" x14ac:dyDescent="0.3">
      <c r="A183" s="2" t="s">
        <v>31</v>
      </c>
      <c r="B183" t="s">
        <v>28</v>
      </c>
      <c r="C183">
        <v>2018</v>
      </c>
      <c r="D183">
        <v>5694</v>
      </c>
      <c r="E183">
        <v>2689</v>
      </c>
      <c r="F183">
        <v>920</v>
      </c>
      <c r="G183">
        <v>13832</v>
      </c>
      <c r="H183">
        <v>5341</v>
      </c>
      <c r="I183">
        <v>40389</v>
      </c>
      <c r="J183">
        <v>40389</v>
      </c>
    </row>
    <row r="184" spans="1:10" x14ac:dyDescent="0.3">
      <c r="A184" s="2" t="s">
        <v>31</v>
      </c>
      <c r="B184" t="s">
        <v>28</v>
      </c>
      <c r="C184">
        <v>2019</v>
      </c>
      <c r="D184">
        <v>6707</v>
      </c>
      <c r="E184">
        <v>2944</v>
      </c>
      <c r="F184">
        <v>850</v>
      </c>
      <c r="G184">
        <v>16599</v>
      </c>
      <c r="H184">
        <v>5964</v>
      </c>
      <c r="I184">
        <v>40464</v>
      </c>
      <c r="J184">
        <v>40464</v>
      </c>
    </row>
    <row r="185" spans="1:10" x14ac:dyDescent="0.3">
      <c r="A185" s="2" t="s">
        <v>31</v>
      </c>
      <c r="B185" t="s">
        <v>28</v>
      </c>
      <c r="C185">
        <v>2020</v>
      </c>
      <c r="D185">
        <v>6852</v>
      </c>
      <c r="E185">
        <v>2965</v>
      </c>
      <c r="F185">
        <v>721</v>
      </c>
      <c r="G185">
        <v>9205</v>
      </c>
      <c r="H185">
        <v>6331</v>
      </c>
      <c r="I185">
        <v>39885</v>
      </c>
      <c r="J185">
        <v>39885</v>
      </c>
    </row>
    <row r="186" spans="1:10" x14ac:dyDescent="0.3">
      <c r="A186" s="2" t="s">
        <v>31</v>
      </c>
      <c r="B186" t="s">
        <v>28</v>
      </c>
      <c r="C186">
        <v>2021</v>
      </c>
      <c r="D186">
        <v>5299</v>
      </c>
      <c r="E186">
        <v>2352</v>
      </c>
      <c r="F186">
        <v>117</v>
      </c>
      <c r="G186">
        <v>19219</v>
      </c>
      <c r="H186">
        <v>6549</v>
      </c>
      <c r="I186">
        <v>41171</v>
      </c>
      <c r="J186">
        <v>41171</v>
      </c>
    </row>
    <row r="187" spans="1:10" x14ac:dyDescent="0.3">
      <c r="A187" s="2" t="s">
        <v>31</v>
      </c>
      <c r="B187" t="s">
        <v>28</v>
      </c>
      <c r="C187">
        <v>2022</v>
      </c>
      <c r="D187">
        <v>5804</v>
      </c>
      <c r="E187">
        <v>2575</v>
      </c>
      <c r="F187">
        <v>361</v>
      </c>
      <c r="G187">
        <v>16697</v>
      </c>
      <c r="H187">
        <v>11962</v>
      </c>
      <c r="I187">
        <v>42481</v>
      </c>
      <c r="J187">
        <v>42481</v>
      </c>
    </row>
    <row r="188" spans="1:10" x14ac:dyDescent="0.3">
      <c r="A188" s="2" t="s">
        <v>31</v>
      </c>
      <c r="B188" t="s">
        <v>28</v>
      </c>
      <c r="C188">
        <v>2023</v>
      </c>
      <c r="D188">
        <v>6402</v>
      </c>
      <c r="E188">
        <v>3130</v>
      </c>
      <c r="F188">
        <v>720</v>
      </c>
      <c r="G188">
        <v>16748</v>
      </c>
      <c r="H188">
        <v>12775</v>
      </c>
      <c r="I188">
        <v>42703</v>
      </c>
      <c r="J188">
        <v>42703</v>
      </c>
    </row>
    <row r="189" spans="1:10" x14ac:dyDescent="0.3">
      <c r="A189" s="2" t="s">
        <v>31</v>
      </c>
      <c r="B189" t="s">
        <v>28</v>
      </c>
      <c r="C189">
        <v>2024</v>
      </c>
      <c r="D189">
        <v>7409</v>
      </c>
      <c r="E189">
        <v>3022</v>
      </c>
      <c r="F189">
        <v>606</v>
      </c>
      <c r="G189">
        <v>18653</v>
      </c>
      <c r="H189">
        <v>13141</v>
      </c>
      <c r="I189">
        <v>44870</v>
      </c>
      <c r="J189">
        <v>44870</v>
      </c>
    </row>
    <row r="190" spans="1:10" x14ac:dyDescent="0.3">
      <c r="A190" s="2" t="s">
        <v>31</v>
      </c>
      <c r="B190" t="s">
        <v>28</v>
      </c>
      <c r="C190">
        <v>2025</v>
      </c>
      <c r="D190">
        <v>7613</v>
      </c>
      <c r="E190">
        <v>3472</v>
      </c>
      <c r="F190">
        <v>6481</v>
      </c>
      <c r="G190">
        <v>20599</v>
      </c>
      <c r="H190">
        <v>19223</v>
      </c>
      <c r="I190">
        <v>53849</v>
      </c>
      <c r="J190">
        <v>53849</v>
      </c>
    </row>
    <row r="191" spans="1:10" x14ac:dyDescent="0.3">
      <c r="A191" s="2" t="s">
        <v>30</v>
      </c>
      <c r="B191" t="s">
        <v>28</v>
      </c>
      <c r="C191">
        <v>2016</v>
      </c>
      <c r="D191">
        <v>8261</v>
      </c>
      <c r="E191">
        <v>457</v>
      </c>
      <c r="F191">
        <v>-2749</v>
      </c>
      <c r="G191">
        <v>39444</v>
      </c>
      <c r="H191">
        <v>4387</v>
      </c>
      <c r="I191">
        <v>59143</v>
      </c>
      <c r="J191">
        <v>59143</v>
      </c>
    </row>
    <row r="192" spans="1:10" x14ac:dyDescent="0.3">
      <c r="A192" s="2" t="s">
        <v>30</v>
      </c>
      <c r="B192" t="s">
        <v>28</v>
      </c>
      <c r="C192">
        <v>2017</v>
      </c>
      <c r="D192">
        <v>9557</v>
      </c>
      <c r="E192">
        <v>3163</v>
      </c>
      <c r="F192">
        <v>-347</v>
      </c>
      <c r="G192">
        <v>21484</v>
      </c>
      <c r="H192">
        <v>4739</v>
      </c>
      <c r="I192">
        <v>36852</v>
      </c>
      <c r="J192">
        <v>36852</v>
      </c>
    </row>
    <row r="193" spans="1:10" x14ac:dyDescent="0.3">
      <c r="A193" s="2" t="s">
        <v>30</v>
      </c>
      <c r="B193" t="s">
        <v>28</v>
      </c>
      <c r="C193">
        <v>2018</v>
      </c>
      <c r="D193">
        <v>8556</v>
      </c>
      <c r="E193">
        <v>1558</v>
      </c>
      <c r="F193">
        <v>-1115</v>
      </c>
      <c r="G193">
        <v>23411</v>
      </c>
      <c r="H193">
        <v>2842</v>
      </c>
      <c r="I193">
        <v>37898</v>
      </c>
      <c r="J193">
        <v>37898</v>
      </c>
    </row>
    <row r="194" spans="1:10" x14ac:dyDescent="0.3">
      <c r="A194" s="2" t="s">
        <v>30</v>
      </c>
      <c r="B194" t="s">
        <v>28</v>
      </c>
      <c r="C194">
        <v>2019</v>
      </c>
      <c r="D194">
        <v>7411</v>
      </c>
      <c r="E194">
        <v>1453</v>
      </c>
      <c r="F194">
        <v>-3356</v>
      </c>
      <c r="G194">
        <v>27580</v>
      </c>
      <c r="H194">
        <v>-1057</v>
      </c>
      <c r="I194">
        <v>40075</v>
      </c>
      <c r="J194">
        <v>40075</v>
      </c>
    </row>
    <row r="195" spans="1:10" x14ac:dyDescent="0.3">
      <c r="A195" s="2" t="s">
        <v>30</v>
      </c>
      <c r="B195" t="s">
        <v>28</v>
      </c>
      <c r="C195">
        <v>2020</v>
      </c>
      <c r="D195">
        <v>8395</v>
      </c>
      <c r="E195">
        <v>2178</v>
      </c>
      <c r="F195">
        <v>-2202</v>
      </c>
      <c r="G195">
        <v>34442</v>
      </c>
      <c r="H195">
        <v>-3062</v>
      </c>
      <c r="I195">
        <v>46302</v>
      </c>
      <c r="J195">
        <v>46302</v>
      </c>
    </row>
    <row r="196" spans="1:10" x14ac:dyDescent="0.3">
      <c r="A196" s="2" t="s">
        <v>30</v>
      </c>
      <c r="B196" t="s">
        <v>28</v>
      </c>
      <c r="C196">
        <v>2021</v>
      </c>
      <c r="D196">
        <v>3566</v>
      </c>
      <c r="E196">
        <v>905</v>
      </c>
      <c r="F196">
        <v>-3428</v>
      </c>
      <c r="G196">
        <v>36864</v>
      </c>
      <c r="H196">
        <v>-2322</v>
      </c>
      <c r="I196">
        <v>49843</v>
      </c>
      <c r="J196">
        <v>49843</v>
      </c>
    </row>
    <row r="197" spans="1:10" x14ac:dyDescent="0.3">
      <c r="A197" s="2" t="s">
        <v>30</v>
      </c>
      <c r="B197" t="s">
        <v>28</v>
      </c>
      <c r="C197">
        <v>2022</v>
      </c>
      <c r="D197">
        <v>4601</v>
      </c>
      <c r="E197">
        <v>2285</v>
      </c>
      <c r="F197">
        <v>-1131</v>
      </c>
      <c r="G197">
        <v>26633</v>
      </c>
      <c r="H197">
        <v>-1421</v>
      </c>
      <c r="I197">
        <v>37087</v>
      </c>
      <c r="J197">
        <v>37087</v>
      </c>
    </row>
    <row r="198" spans="1:10" x14ac:dyDescent="0.3">
      <c r="A198" s="2" t="s">
        <v>30</v>
      </c>
      <c r="B198" t="s">
        <v>28</v>
      </c>
      <c r="C198">
        <v>2023</v>
      </c>
      <c r="D198">
        <v>6674</v>
      </c>
      <c r="E198">
        <v>1727</v>
      </c>
      <c r="F198">
        <v>-840</v>
      </c>
      <c r="G198">
        <v>32157</v>
      </c>
      <c r="H198">
        <v>-1396</v>
      </c>
      <c r="I198">
        <v>43921</v>
      </c>
      <c r="J198">
        <v>43921</v>
      </c>
    </row>
    <row r="199" spans="1:10" x14ac:dyDescent="0.3">
      <c r="A199" s="2" t="s">
        <v>30</v>
      </c>
      <c r="B199" t="s">
        <v>28</v>
      </c>
      <c r="C199">
        <v>2024</v>
      </c>
      <c r="D199">
        <v>8755</v>
      </c>
      <c r="E199">
        <v>2972</v>
      </c>
      <c r="F199">
        <v>-828</v>
      </c>
      <c r="G199">
        <v>35905</v>
      </c>
      <c r="H199">
        <v>-2768</v>
      </c>
      <c r="I199">
        <v>48489</v>
      </c>
      <c r="J199">
        <v>48489</v>
      </c>
    </row>
    <row r="200" spans="1:10" x14ac:dyDescent="0.3">
      <c r="A200" s="2" t="s">
        <v>30</v>
      </c>
      <c r="B200" t="s">
        <v>28</v>
      </c>
      <c r="C200">
        <v>2025</v>
      </c>
      <c r="D200">
        <v>10414</v>
      </c>
      <c r="E200">
        <v>3775</v>
      </c>
      <c r="F200">
        <v>-817</v>
      </c>
      <c r="G200">
        <v>38218</v>
      </c>
      <c r="H200">
        <v>-3559</v>
      </c>
      <c r="I200">
        <v>48559</v>
      </c>
      <c r="J200">
        <v>48559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Anwoy Datta</dc:creator>
  <cp:keywords/>
  <dc:description/>
  <cp:lastModifiedBy>Anwoy ...</cp:lastModifiedBy>
  <cp:revision/>
  <dcterms:created xsi:type="dcterms:W3CDTF">2026-04-04T11:16:10Z</dcterms:created>
  <dcterms:modified xsi:type="dcterms:W3CDTF">2026-04-13T03:39:57Z</dcterms:modified>
  <cp:category/>
  <cp:contentStatus/>
</cp:coreProperties>
</file>